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GU\2. KTPM\"/>
    </mc:Choice>
  </mc:AlternateContent>
  <xr:revisionPtr revIDLastSave="0" documentId="13_ncr:1_{864B79FC-4DF1-47F9-9D2C-F05507D1D5F9}" xr6:coauthVersionLast="47" xr6:coauthVersionMax="47" xr10:uidLastSave="{00000000-0000-0000-0000-000000000000}"/>
  <bookViews>
    <workbookView xWindow="1992" yWindow="1284" windowWidth="21732" windowHeight="11904" activeTab="3" xr2:uid="{6EBD3514-DAC6-4268-8DFC-4FE478A2345E}"/>
  </bookViews>
  <sheets>
    <sheet name="TestCase list" sheetId="1" r:id="rId1"/>
    <sheet name="Module 1" sheetId="2" r:id="rId2"/>
    <sheet name="Module 2" sheetId="3" r:id="rId3"/>
    <sheet name="Test Report" sheetId="4" r:id="rId4"/>
  </sheets>
  <externalReferences>
    <externalReference r:id="rId5"/>
    <externalReference r:id="rId6"/>
  </externalReferenc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H12" i="4" s="1"/>
  <c r="H14" i="4" s="1"/>
  <c r="D6" i="3"/>
  <c r="B6" i="3"/>
  <c r="A6" i="3"/>
  <c r="H11" i="4"/>
  <c r="F11" i="4"/>
  <c r="G12" i="4"/>
  <c r="G14" i="4" s="1"/>
  <c r="E12" i="4"/>
  <c r="E14" i="4" s="1"/>
  <c r="D12" i="4"/>
  <c r="D14" i="4" s="1"/>
  <c r="C12" i="4"/>
  <c r="G11" i="4"/>
  <c r="E11" i="4"/>
  <c r="D11" i="4"/>
  <c r="C11" i="4"/>
  <c r="C5" i="4"/>
  <c r="E6" i="2"/>
  <c r="D6" i="2"/>
  <c r="B6" i="2"/>
  <c r="A6" i="2"/>
  <c r="C6" i="3" l="1"/>
  <c r="F12" i="4" s="1"/>
  <c r="F14" i="4" s="1"/>
  <c r="E16" i="4"/>
  <c r="E17" i="4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34DCED2-4985-4027-8572-EF2E3FE4061B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<sst xmlns="http://schemas.openxmlformats.org/spreadsheetml/2006/main" count="217" uniqueCount="155">
  <si>
    <t>TEST CASE LIST</t>
  </si>
  <si>
    <t>Project Name</t>
  </si>
  <si>
    <t>Counter Sales System</t>
  </si>
  <si>
    <t>Project Code</t>
  </si>
  <si>
    <t>Test Environment Setup Description</t>
  </si>
  <si>
    <t xml:space="preserve">
Server: Local Test Server (Windows 10, IIS 10.0)
Database: SQL Server Express 2023</t>
  </si>
  <si>
    <t>No</t>
  </si>
  <si>
    <t>Function Name</t>
  </si>
  <si>
    <t>Sheet Name</t>
  </si>
  <si>
    <t>Description</t>
  </si>
  <si>
    <t>Pre-Condition</t>
  </si>
  <si>
    <t>Function A</t>
  </si>
  <si>
    <t>Module1</t>
  </si>
  <si>
    <t>Function B</t>
  </si>
  <si>
    <t>Function C</t>
  </si>
  <si>
    <t>Module2</t>
  </si>
  <si>
    <t>Function D</t>
  </si>
  <si>
    <t>Module Code</t>
  </si>
  <si>
    <t xml:space="preserve">Module1 </t>
  </si>
  <si>
    <t>Test requirement</t>
  </si>
  <si>
    <t>Kiểm thử chức năng nhập và xử lý mã sản phẩm (Product Number) trên màn hình Counter Sales.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</si>
  <si>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</si>
  <si>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</si>
  <si>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</si>
  <si>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</si>
  <si>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</si>
  <si>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</si>
  <si>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</si>
  <si>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</si>
  <si>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</si>
  <si>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</si>
  <si>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Test data</t>
  </si>
  <si>
    <t>Result</t>
  </si>
  <si>
    <t>ProdNum-001</t>
  </si>
  <si>
    <t>Hệ thống chấp nhận và hiển thị thông tin sản phẩm tương ứng</t>
  </si>
  <si>
    <t>Untesed</t>
  </si>
  <si>
    <t>Sản phẩm tồn tại trong CSDL với mã hợp lệ.</t>
  </si>
  <si>
    <t>ProdNum-002</t>
  </si>
  <si>
    <t>Hiển thị thông báo lỗi “Mã sản phẩm phải có 10 chữ số”</t>
  </si>
  <si>
    <t>Dữ liệu nhập vào không đủ độ dài quy định.</t>
  </si>
  <si>
    <t>ProdNum-004</t>
  </si>
  <si>
    <t>Dữ liệu nhập không hợp lệ (chứa ký tự không phải số).</t>
  </si>
  <si>
    <t>ProdNum-003</t>
  </si>
  <si>
    <t>Hiển thị thông báo lỗi “Mã sản phẩm vượt quá 10 chữ số cho phép”.</t>
  </si>
  <si>
    <t>Dữ liệu nhập vượt giới hạn độ dài.</t>
  </si>
  <si>
    <t>ProdNum-005</t>
  </si>
  <si>
    <t>Hiển thị thông báo “Không tìm thấy ản phẩm”.</t>
  </si>
  <si>
    <t>Mã sản phẩm không tồn tại trong cơ sở dữ liệu.</t>
  </si>
  <si>
    <t>ProdNum-006</t>
  </si>
  <si>
    <t>1. Đăng nhập hệ thống.
2. Để trống ô Product Number.
3. Nhấn Search.</t>
  </si>
  <si>
    <t>Hiển thị thông báo lỗi “Vui lòng nhập mã sản phẩm”.</t>
  </si>
  <si>
    <t>TestData06 = (trống)</t>
  </si>
  <si>
    <t>Dữ liệu bắt buộc bị bỏ trống</t>
  </si>
  <si>
    <t>Nhập nhiều hơn 10 chữ số</t>
  </si>
  <si>
    <t>Nhập ít hơn 10 chữ số</t>
  </si>
  <si>
    <t>Nhập ký tự chữ hoặc ký tự đặc biệt</t>
  </si>
  <si>
    <t>Nhập Product Number hợp lệ và có trong DB (taxable product)</t>
  </si>
  <si>
    <t>Gồm 6 test case (ProdNum-001 → ProdNum-004):
- Kiểm tra Product Number hợp lệ (10 chữ số).
- Kiểm tra nhập ít hơn 10 chữ số.
- Kiểm tra nhập nhiều hơn 10 chữ số.
- Kiểm tra nhập ký tự chữ hoặc ký tự đặc biệt. 
- Kiểm tra nhập Product Number có khoảng trắng.
- Kiểm tra Product Number hợp lệ có leading zeros.</t>
  </si>
  <si>
    <t>Gồm 2 test case (ProdNum-005 → ProdNum-006):
- Kiểm tra khi nhập Product Number hợp lệ nhưng không tồn tại trong cơ sở dữ liệu.
- Kiểm tra khi để trống trường Product Number.</t>
  </si>
  <si>
    <t>1. Đăng nhập hệ thống bằng tài khoản Sales.
2. Mở màn hình Counter Sales
3. Nhập 0000987654 vào trường Product Number
4. Nhấn Enter / Search</t>
  </si>
  <si>
    <t>1. Đăng nhập vào hệ thống
2. Nhập 123456789012 vào Product Number
3. Nhấn Search</t>
  </si>
  <si>
    <t>1. Đăng nhập vào hệ thống
2. Nhập 987654321 vào Product Number
3. Nhấn Enter</t>
  </si>
  <si>
    <t xml:space="preserve">1. Đăng nhập vào hệ thống
3. Nhập 12@45A7890 vào Product Number
3. Nhấn Enter </t>
  </si>
  <si>
    <t>Nhập Product Number có khoảng trắng</t>
  </si>
  <si>
    <t>Nhập Product Number hợp lệ có leading zeros</t>
  </si>
  <si>
    <t>ProdNum-007</t>
  </si>
  <si>
    <t>ProdNum-008</t>
  </si>
  <si>
    <t>Không nhập gì (để trống)</t>
  </si>
  <si>
    <t>Nhập mã hợp lệ nhưng không tồn tại trong DB</t>
  </si>
  <si>
    <t>TEST REPORT</t>
  </si>
  <si>
    <t>Creator</t>
  </si>
  <si>
    <t>CS-001</t>
  </si>
  <si>
    <t>Reviewer/Approver</t>
  </si>
  <si>
    <t>Document Code</t>
  </si>
  <si>
    <t>Issue Date</t>
  </si>
  <si>
    <t>Notes</t>
  </si>
  <si>
    <t>This release includes 2 modules: Module1 (Product Number) and Module2 (Profit Margin).</t>
  </si>
  <si>
    <t>Module code</t>
  </si>
  <si>
    <t>Number of  test cases</t>
  </si>
  <si>
    <t>Sub total</t>
  </si>
  <si>
    <t>Test coverage</t>
  </si>
  <si>
    <t>%</t>
  </si>
  <si>
    <t>Test successful coverage</t>
  </si>
  <si>
    <t>Thanh Tung</t>
  </si>
  <si>
    <t>Thanh Phong</t>
  </si>
  <si>
    <t>Kiểm tra việc tính toán và xác thực Lợi nhuận biên % (Profit Margin)</t>
  </si>
  <si>
    <t>Inter-test case Dependence</t>
  </si>
  <si>
    <t>Test date</t>
  </si>
  <si>
    <t>Note</t>
  </si>
  <si>
    <t>TC_PM_01</t>
  </si>
  <si>
    <t>không phụ thuộc</t>
  </si>
  <si>
    <t>24/10/2025</t>
  </si>
  <si>
    <t>TC_PM_02</t>
  </si>
  <si>
    <t>Kiểm tra hiển thị định dạng tiền (2 chữ số thập phân) và không có làm tròn sai lệch.</t>
  </si>
  <si>
    <t>TC_PM_03</t>
  </si>
  <si>
    <t>Kiểm tra khi Profit Margin &gt; 30%</t>
  </si>
  <si>
    <t>Không phụ thuộc</t>
  </si>
  <si>
    <t>Thử cả giá trị lớn (ví dụ Margin=300%) để xem hệ thống có giới hạn Margin hay chỉ giới hạn NewPrice.</t>
  </si>
  <si>
    <t>TC_PM_04</t>
  </si>
  <si>
    <t>TC_PM_05</t>
  </si>
  <si>
    <t>Hệ thống hiển thị “Price out of range ($0 - 999,999.99)”; không cho lưu.</t>
  </si>
  <si>
    <t>Kiểm tra cả ranh giới chính xác: WAC/Margin dẫn tới NewPrice = 999,999.99 (ví dụ test thiết kế) để đảm bảo hệ thống cho phép giá tại đúng biên</t>
  </si>
  <si>
    <t>TC_PM_06</t>
  </si>
  <si>
    <t>Gồm 5 test case (TC-PM-01 → TC-PM-05):
- Kiểm tra khi nhập Profit Margin &lt; 0.
- Kiểm tra khi 0 ≤ Margin &lt; 30 (dưới ngưỡng cho phép).
- Kiểm tra khi Margin = 30 (biên hợp lệ).
- Kiểm tra khi Margin &gt; 30 (hợp lệ).
- Kiểm tra khi Margin trống hoặc ký tự không hợp lệ.</t>
  </si>
  <si>
    <t>Gồm 3 test case (TC-PM-06 → TC-PM-08):
- Kiểm tra khi WAC = 0.
- Kiểm tra khi New Price &gt; 999,999.99 (vượt giới hạn).
- Kiểm tra khi Discount làm lợi nhuận &lt; 30% (Profit below threshold).</t>
  </si>
  <si>
    <t>Có dữ liệu sản phẩm hợp lệ trong hệ thống, người dùng đăng nhập bằng quyền Sales Manager.</t>
  </si>
  <si>
    <t>Màn hình Price Override mở sẵn, trường WAC hiển thị đúng giá vốn, người dùng có quyền sửa giá.</t>
  </si>
  <si>
    <t>Người dùng đã đăng nhập hệ thống; kết nối cơ sở dữ liệu ổn định.</t>
  </si>
  <si>
    <t>Người dùng đã đăng nhập hệ thống và đang mở màn hình Counter Sales. Dữ liệu sản phẩm hợp lệ tồn tại trong cơ sở dữ liệu.</t>
  </si>
  <si>
    <t>TC_PM_07</t>
  </si>
  <si>
    <t>TC_PM_08</t>
  </si>
  <si>
    <t>Hoang Phuc</t>
  </si>
  <si>
    <t>1. Đăng nhập hệ thống.
2. Nhập mã sản phẩm 1111222233.
3. Nhấn Search.</t>
  </si>
  <si>
    <t>TestData05 = 1111222233</t>
  </si>
  <si>
    <t>TestData02 = 123456789012</t>
  </si>
  <si>
    <t>TestData01 = 0000987654</t>
  </si>
  <si>
    <t>TestData03 = 987654321</t>
  </si>
  <si>
    <t>TestData04 = 12@45A7890</t>
  </si>
  <si>
    <t>1. Đăng nhập hệ thống.
2. Nhập 1234 567890 vào Product Number.
3. Nhấn Search.</t>
  </si>
  <si>
    <t>TestData07 = 1234 567890</t>
  </si>
  <si>
    <t>Hiển thị thông báo "Định dạng không hợp lệ – không cho phép khoảng trắng".</t>
  </si>
  <si>
    <t>Hiển thị thông báo lỗi: "Chỉ cho phép ký tự số".</t>
  </si>
  <si>
    <t>Hệ thống tìm đúng sản phẩm; hiển thị giữ nguyên leading zeros; không báo lỗi.</t>
  </si>
  <si>
    <t>1. Đăng nhập hệ thống.
2. Nhập 0000001234 vào Product Number.
3. Nhấn Search.</t>
  </si>
  <si>
    <t>TestData08 = 0000001234</t>
  </si>
  <si>
    <t>Hệ thống tìm đúng sản phẩm</t>
  </si>
  <si>
    <t>Kiểm tra khi Profit Margin &lt; 0</t>
  </si>
  <si>
    <t>Kiểm tra khi Profit Margin &lt; 30% (0 ≤ Margin &lt; 30)</t>
  </si>
  <si>
    <t>Kiểm tra biên hợp lệ khi Profit Margin = 30%</t>
  </si>
  <si>
    <t>Kiểm tra khi Profit Margin trống hoặc ký tự không hợp lệ</t>
  </si>
  <si>
    <t>Kiểm tra khi WAC = 0</t>
  </si>
  <si>
    <t>Kiểm tra khi New Price &gt; 999,999.99</t>
  </si>
  <si>
    <t>Kiểm tra khi giảm giá làm Profit &lt; 30% (Profit below threshold)</t>
  </si>
  <si>
    <t>Kiểm thử thêm với -1, -0.5 để đảm bảo hệ thống từ chối giá trị âm.</t>
  </si>
  <si>
    <t>Hệ thống hiển thị cảnh báo “Invalid profit margin”; từ chối lưu thay đổi.</t>
  </si>
  <si>
    <t>Hiển thị “Profit margin must be ≥30%”; không cho lưu.</t>
  </si>
  <si>
    <t>1. Mở màn hình Price Override.
2. Nhập WAC = $100.00, Margin = 25
3. Nhấn Calculate để hệ thống tính NewPrice.
4. Ghi lại giá trị NewPrice hiển thị.</t>
  </si>
  <si>
    <t>1. Mở màn hình Price Override.
2. Nhập WAC = $100.00.
3. Nhập Margin = -5.
4. Nhấn Calculate / Save.
5. Quan sát thông báo/validation.</t>
  </si>
  <si>
    <t>Hệ thống cho lưu; Profit hiển thị 30%.</t>
  </si>
  <si>
    <t>1. Mở màn hình Price Override.
2. Nhập Margin = 30, đảm bảo WAC = $100.00.
3. Nhấn OK để hệ thống tính NewPrice.</t>
  </si>
  <si>
    <t>Có thể thực hiện độc lập; nên chạy sau TC_PM_01 để kiểm tra ranh giới.</t>
  </si>
  <si>
    <t>Kiểm tra ký tự đặc biệt (%, #, space).</t>
  </si>
  <si>
    <t>Có thể độc lập; nên chạy sau TC_PM_03 để kiểm tra ngưỡng trên.</t>
  </si>
  <si>
    <t>1. Mở màn hình Price Override.
2. Nhập WAC = 100.00.2. Nhập Margin = “30A” hoặc để trống
3. Nhấn OK để hệ thống tính NewPrice.</t>
  </si>
  <si>
    <t>Hiển thị lỗi “Profit margin is required” hoặc “Invalid format”.</t>
  </si>
  <si>
    <t>Hệ thống cho phép lưu; Profit hiển thị 50%.</t>
  </si>
  <si>
    <t>1. Mở màn hình Price Override.
2. Nhập Margin = 50, đảm bảo WAC = $100.00.
3. Nhấn OK để hệ thống tính NewPrice.
4. Ghi lại giá trị NewPrice hiển thị.</t>
  </si>
  <si>
    <t>Thử thêm giá trị Margin = 30 và các giá trị WAC khác để kiểm tra định dạng.</t>
  </si>
  <si>
    <t>Test giá trị gần 0 (0.001) để xác nhận xử lý đúng.</t>
  </si>
  <si>
    <t>1. Mở màn hình Price Override.
2. Nhập Margin = 50, đảm bảo WAC = $0.
3. Nhấn OK để hệ thống tính NewPrice.</t>
  </si>
  <si>
    <t>Hiển thị lỗi “WAC cannot be zero”; không tính toán.</t>
  </si>
  <si>
    <t>Cảnh báo “Profit below threshold”; không cho thanh toán.</t>
  </si>
  <si>
    <t>1. Mở Price Override.
2. Nhập WAC = 900000.00 (hoặc set sẵn).
3. Nhập Margin = 20.
4. Nhấn Calculate.</t>
  </si>
  <si>
    <t>Thử nhiều discount khác nhau (20%, 30%).</t>
  </si>
  <si>
    <t>1. Mở Price Override.
2. Nhập WAC = 250.00, Margin = 40 (hoặc set sẵn).
3. Áp dụng Discount 25%.
4. Nhấn Save.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</si>
</sst>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0">
    <font>
      <sz val="11"/>
      <color theme="1"/>
      <name val="Arial"/>
      <family val="2"/>
      <scheme val="minor"/>
    </font>
    <font>
      <b/>
      <sz val="20"/>
      <color theme="1"/>
      <name val="Tahoma"/>
      <family val="2"/>
    </font>
    <font>
      <sz val="11"/>
      <color theme="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MS PGothic"/>
      <family val="2"/>
    </font>
    <font>
      <b/>
      <sz val="10"/>
      <color rgb="FFFFFFFF"/>
      <name val="Tahoma"/>
      <family val="2"/>
    </font>
    <font>
      <sz val="10"/>
      <color rgb="FF000000"/>
      <name val="Arial"/>
      <family val="2"/>
    </font>
    <font>
      <b/>
      <sz val="10"/>
      <color rgb="FFFFFFFF"/>
      <name val="Times New Roman"/>
      <family val="1"/>
      <charset val="163"/>
    </font>
    <font>
      <sz val="10"/>
      <color theme="1"/>
      <name val="Times New Roman"/>
      <family val="1"/>
      <charset val="163"/>
    </font>
    <font>
      <u/>
      <sz val="10"/>
      <color rgb="FF0000FF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name val="Tahoma"/>
      <family val="2"/>
    </font>
    <font>
      <sz val="11"/>
      <name val="ＭＳ Ｐゴシック"/>
      <family val="3"/>
      <charset val="128"/>
    </font>
    <font>
      <b/>
      <sz val="20"/>
      <color indexed="8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0"/>
      <color indexed="8"/>
      <name val="Tahoma"/>
      <family val="2"/>
    </font>
    <font>
      <sz val="11"/>
      <color theme="1"/>
      <name val="Times New Roman"/>
      <family val="1"/>
      <charset val="163"/>
      <scheme val="major"/>
    </font>
    <font>
      <sz val="10"/>
      <color indexed="10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sz val="10"/>
      <color theme="1"/>
      <name val="Tahoma"/>
      <family val="2"/>
    </font>
    <font>
      <b/>
      <sz val="8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27"/>
        <bgColor indexed="41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5" fillId="4" borderId="12" xfId="0" applyFont="1" applyFill="1" applyBorder="1"/>
    <xf numFmtId="0" fontId="5" fillId="4" borderId="12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6" fillId="4" borderId="13" xfId="0" applyFont="1" applyFill="1" applyBorder="1" applyAlignment="1">
      <alignment horizontal="left" wrapText="1"/>
    </xf>
    <xf numFmtId="0" fontId="4" fillId="4" borderId="14" xfId="0" applyFont="1" applyFill="1" applyBorder="1" applyAlignment="1">
      <alignment horizontal="left" wrapText="1"/>
    </xf>
    <xf numFmtId="0" fontId="7" fillId="0" borderId="15" xfId="0" applyFont="1" applyBorder="1"/>
    <xf numFmtId="0" fontId="7" fillId="0" borderId="16" xfId="0" applyFont="1" applyBorder="1"/>
    <xf numFmtId="0" fontId="6" fillId="4" borderId="17" xfId="0" applyFont="1" applyFill="1" applyBorder="1" applyAlignment="1">
      <alignment horizontal="left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7" fillId="0" borderId="19" xfId="0" applyFont="1" applyBorder="1"/>
    <xf numFmtId="0" fontId="7" fillId="0" borderId="20" xfId="0" applyFont="1" applyBorder="1"/>
    <xf numFmtId="0" fontId="6" fillId="4" borderId="17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wrapText="1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7" fillId="0" borderId="26" xfId="0" applyFont="1" applyBorder="1"/>
    <xf numFmtId="0" fontId="5" fillId="4" borderId="0" xfId="0" applyFont="1" applyFill="1"/>
    <xf numFmtId="0" fontId="8" fillId="5" borderId="21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28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vertical="center" wrapText="1"/>
    </xf>
    <xf numFmtId="0" fontId="12" fillId="2" borderId="11" xfId="0" applyFont="1" applyFill="1" applyBorder="1" applyAlignment="1">
      <alignment vertical="center" wrapText="1"/>
    </xf>
    <xf numFmtId="0" fontId="14" fillId="7" borderId="0" xfId="0" applyFont="1" applyFill="1"/>
    <xf numFmtId="0" fontId="16" fillId="7" borderId="0" xfId="1" applyFont="1" applyFill="1" applyAlignment="1">
      <alignment horizontal="center"/>
    </xf>
    <xf numFmtId="0" fontId="17" fillId="7" borderId="0" xfId="1" applyFont="1" applyFill="1"/>
    <xf numFmtId="0" fontId="14" fillId="7" borderId="0" xfId="1" applyFont="1" applyFill="1"/>
    <xf numFmtId="164" fontId="14" fillId="7" borderId="0" xfId="1" applyNumberFormat="1" applyFont="1" applyFill="1"/>
    <xf numFmtId="0" fontId="18" fillId="7" borderId="29" xfId="0" applyFont="1" applyFill="1" applyBorder="1" applyAlignment="1">
      <alignment horizontal="left" vertical="center"/>
    </xf>
    <xf numFmtId="0" fontId="19" fillId="7" borderId="29" xfId="0" applyFont="1" applyFill="1" applyBorder="1" applyAlignment="1">
      <alignment horizontal="left"/>
    </xf>
    <xf numFmtId="0" fontId="18" fillId="7" borderId="29" xfId="0" applyFont="1" applyFill="1" applyBorder="1" applyAlignment="1">
      <alignment horizontal="left"/>
    </xf>
    <xf numFmtId="0" fontId="18" fillId="7" borderId="30" xfId="0" applyFont="1" applyFill="1" applyBorder="1" applyAlignment="1">
      <alignment horizontal="left"/>
    </xf>
    <xf numFmtId="0" fontId="14" fillId="7" borderId="30" xfId="0" applyFont="1" applyFill="1" applyBorder="1" applyAlignment="1">
      <alignment vertical="top"/>
    </xf>
    <xf numFmtId="0" fontId="18" fillId="7" borderId="29" xfId="0" applyFont="1" applyFill="1" applyBorder="1" applyAlignment="1">
      <alignment vertical="center"/>
    </xf>
    <xf numFmtId="14" fontId="19" fillId="7" borderId="30" xfId="0" applyNumberFormat="1" applyFont="1" applyFill="1" applyBorder="1" applyAlignment="1">
      <alignment vertical="top"/>
    </xf>
    <xf numFmtId="0" fontId="19" fillId="7" borderId="29" xfId="1" applyFont="1" applyFill="1" applyBorder="1" applyAlignment="1">
      <alignment vertical="top"/>
    </xf>
    <xf numFmtId="0" fontId="18" fillId="7" borderId="0" xfId="0" applyFont="1" applyFill="1"/>
    <xf numFmtId="0" fontId="19" fillId="7" borderId="0" xfId="1" applyFont="1" applyFill="1"/>
    <xf numFmtId="0" fontId="14" fillId="7" borderId="31" xfId="0" applyFont="1" applyFill="1" applyBorder="1"/>
    <xf numFmtId="0" fontId="20" fillId="8" borderId="32" xfId="0" applyFont="1" applyFill="1" applyBorder="1" applyAlignment="1">
      <alignment horizontal="center"/>
    </xf>
    <xf numFmtId="0" fontId="20" fillId="8" borderId="33" xfId="0" applyFont="1" applyFill="1" applyBorder="1" applyAlignment="1">
      <alignment horizontal="center"/>
    </xf>
    <xf numFmtId="0" fontId="20" fillId="8" borderId="33" xfId="0" applyFont="1" applyFill="1" applyBorder="1" applyAlignment="1">
      <alignment horizontal="center" wrapText="1"/>
    </xf>
    <xf numFmtId="0" fontId="20" fillId="8" borderId="34" xfId="0" applyFont="1" applyFill="1" applyBorder="1" applyAlignment="1">
      <alignment horizontal="center"/>
    </xf>
    <xf numFmtId="0" fontId="20" fillId="8" borderId="35" xfId="0" applyFont="1" applyFill="1" applyBorder="1" applyAlignment="1">
      <alignment horizontal="center" wrapText="1"/>
    </xf>
    <xf numFmtId="0" fontId="14" fillId="7" borderId="36" xfId="0" applyFont="1" applyFill="1" applyBorder="1" applyAlignment="1">
      <alignment horizontal="center"/>
    </xf>
    <xf numFmtId="0" fontId="14" fillId="7" borderId="37" xfId="0" applyFont="1" applyFill="1" applyBorder="1"/>
    <xf numFmtId="0" fontId="14" fillId="7" borderId="37" xfId="0" applyFont="1" applyFill="1" applyBorder="1" applyAlignment="1">
      <alignment horizontal="center"/>
    </xf>
    <xf numFmtId="0" fontId="14" fillId="7" borderId="38" xfId="0" applyFont="1" applyFill="1" applyBorder="1" applyAlignment="1">
      <alignment horizontal="center"/>
    </xf>
    <xf numFmtId="0" fontId="14" fillId="7" borderId="39" xfId="0" applyFont="1" applyFill="1" applyBorder="1" applyAlignment="1">
      <alignment horizontal="center"/>
    </xf>
    <xf numFmtId="0" fontId="21" fillId="8" borderId="40" xfId="0" applyFont="1" applyFill="1" applyBorder="1" applyAlignment="1">
      <alignment horizontal="center"/>
    </xf>
    <xf numFmtId="0" fontId="20" fillId="8" borderId="41" xfId="0" applyFont="1" applyFill="1" applyBorder="1"/>
    <xf numFmtId="0" fontId="21" fillId="8" borderId="41" xfId="0" applyFont="1" applyFill="1" applyBorder="1" applyAlignment="1">
      <alignment horizontal="center"/>
    </xf>
    <xf numFmtId="0" fontId="21" fillId="8" borderId="42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10" fontId="14" fillId="7" borderId="0" xfId="0" applyNumberFormat="1" applyFont="1" applyFill="1" applyAlignment="1">
      <alignment horizontal="center"/>
    </xf>
    <xf numFmtId="9" fontId="14" fillId="7" borderId="0" xfId="0" applyNumberFormat="1" applyFont="1" applyFill="1" applyAlignment="1">
      <alignment horizontal="center"/>
    </xf>
    <xf numFmtId="0" fontId="18" fillId="7" borderId="0" xfId="0" applyFont="1" applyFill="1" applyAlignment="1">
      <alignment horizontal="left"/>
    </xf>
    <xf numFmtId="2" fontId="22" fillId="7" borderId="0" xfId="0" applyNumberFormat="1" applyFont="1" applyFill="1" applyAlignment="1">
      <alignment horizontal="right" wrapText="1"/>
    </xf>
    <xf numFmtId="0" fontId="23" fillId="7" borderId="0" xfId="0" applyFont="1" applyFill="1" applyAlignment="1">
      <alignment horizontal="center" wrapText="1"/>
    </xf>
    <xf numFmtId="0" fontId="13" fillId="0" borderId="4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4" fillId="0" borderId="0" xfId="0" applyFont="1" applyAlignment="1">
      <alignment vertical="center" wrapText="1"/>
    </xf>
    <xf numFmtId="0" fontId="23" fillId="7" borderId="45" xfId="0" applyFont="1" applyFill="1" applyBorder="1"/>
    <xf numFmtId="0" fontId="23" fillId="7" borderId="45" xfId="0" applyFont="1" applyFill="1" applyBorder="1" applyAlignment="1">
      <alignment wrapText="1"/>
    </xf>
    <xf numFmtId="0" fontId="14" fillId="7" borderId="45" xfId="0" applyFont="1" applyFill="1" applyBorder="1" applyAlignment="1">
      <alignment wrapText="1"/>
    </xf>
    <xf numFmtId="0" fontId="17" fillId="7" borderId="0" xfId="0" applyFont="1" applyFill="1" applyAlignment="1">
      <alignment wrapText="1"/>
    </xf>
    <xf numFmtId="0" fontId="14" fillId="7" borderId="0" xfId="0" applyFont="1" applyFill="1" applyAlignment="1">
      <alignment wrapText="1"/>
    </xf>
    <xf numFmtId="0" fontId="25" fillId="7" borderId="0" xfId="0" applyFont="1" applyFill="1" applyAlignment="1">
      <alignment wrapText="1"/>
    </xf>
    <xf numFmtId="0" fontId="23" fillId="7" borderId="0" xfId="0" applyFont="1" applyFill="1"/>
    <xf numFmtId="0" fontId="17" fillId="7" borderId="46" xfId="2" applyFont="1" applyFill="1" applyBorder="1" applyAlignment="1">
      <alignment horizontal="left" wrapText="1"/>
    </xf>
    <xf numFmtId="0" fontId="19" fillId="7" borderId="47" xfId="2" applyFont="1" applyFill="1" applyBorder="1" applyAlignment="1">
      <alignment horizontal="left" wrapText="1"/>
    </xf>
    <xf numFmtId="0" fontId="17" fillId="7" borderId="48" xfId="2" applyFont="1" applyFill="1" applyBorder="1" applyAlignment="1">
      <alignment horizontal="left" wrapText="1"/>
    </xf>
    <xf numFmtId="0" fontId="19" fillId="7" borderId="49" xfId="2" applyFont="1" applyFill="1" applyBorder="1" applyAlignment="1">
      <alignment horizontal="left" wrapText="1"/>
    </xf>
    <xf numFmtId="0" fontId="26" fillId="7" borderId="0" xfId="0" applyFont="1" applyFill="1"/>
    <xf numFmtId="0" fontId="26" fillId="7" borderId="48" xfId="0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 wrapText="1"/>
    </xf>
    <xf numFmtId="0" fontId="26" fillId="7" borderId="50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3" fillId="7" borderId="51" xfId="0" applyFont="1" applyFill="1" applyBorder="1" applyAlignment="1">
      <alignment horizontal="center" vertical="center"/>
    </xf>
    <xf numFmtId="0" fontId="23" fillId="7" borderId="52" xfId="0" applyFont="1" applyFill="1" applyBorder="1" applyAlignment="1">
      <alignment horizontal="center" vertical="center"/>
    </xf>
    <xf numFmtId="0" fontId="23" fillId="7" borderId="53" xfId="0" applyFont="1" applyFill="1" applyBorder="1" applyAlignment="1">
      <alignment horizontal="center" vertical="center"/>
    </xf>
    <xf numFmtId="0" fontId="23" fillId="7" borderId="54" xfId="0" applyFont="1" applyFill="1" applyBorder="1" applyAlignment="1">
      <alignment horizontal="center" vertical="center" wrapText="1"/>
    </xf>
    <xf numFmtId="0" fontId="20" fillId="8" borderId="29" xfId="2" applyFont="1" applyFill="1" applyBorder="1" applyAlignment="1">
      <alignment horizontal="center" vertical="center" wrapText="1"/>
    </xf>
    <xf numFmtId="0" fontId="20" fillId="8" borderId="55" xfId="2" applyFont="1" applyFill="1" applyBorder="1" applyAlignment="1">
      <alignment horizontal="center" vertical="center" wrapText="1"/>
    </xf>
    <xf numFmtId="0" fontId="27" fillId="7" borderId="0" xfId="2" applyFont="1" applyFill="1" applyAlignment="1">
      <alignment horizontal="center" vertical="center" wrapText="1"/>
    </xf>
    <xf numFmtId="0" fontId="17" fillId="9" borderId="50" xfId="2" applyFont="1" applyFill="1" applyBorder="1" applyAlignment="1">
      <alignment horizontal="left" vertical="center"/>
    </xf>
    <xf numFmtId="0" fontId="17" fillId="9" borderId="56" xfId="2" applyFont="1" applyFill="1" applyBorder="1" applyAlignment="1">
      <alignment horizontal="left" vertical="center"/>
    </xf>
    <xf numFmtId="0" fontId="17" fillId="9" borderId="30" xfId="2" applyFont="1" applyFill="1" applyBorder="1" applyAlignment="1">
      <alignment horizontal="left" vertical="center"/>
    </xf>
    <xf numFmtId="0" fontId="27" fillId="7" borderId="0" xfId="2" applyFont="1" applyFill="1" applyAlignment="1">
      <alignment horizontal="left" vertical="center"/>
    </xf>
    <xf numFmtId="0" fontId="14" fillId="7" borderId="29" xfId="2" applyFont="1" applyFill="1" applyBorder="1" applyAlignment="1">
      <alignment vertical="top" wrapText="1"/>
    </xf>
    <xf numFmtId="0" fontId="28" fillId="7" borderId="29" xfId="2" applyFont="1" applyFill="1" applyBorder="1" applyAlignment="1">
      <alignment vertical="top" wrapText="1"/>
    </xf>
    <xf numFmtId="0" fontId="28" fillId="7" borderId="29" xfId="0" applyFont="1" applyFill="1" applyBorder="1" applyAlignment="1">
      <alignment horizontal="left" vertical="top" wrapText="1"/>
    </xf>
    <xf numFmtId="14" fontId="14" fillId="7" borderId="29" xfId="2" applyNumberFormat="1" applyFont="1" applyFill="1" applyBorder="1" applyAlignment="1">
      <alignment vertical="top" wrapText="1"/>
    </xf>
    <xf numFmtId="0" fontId="23" fillId="7" borderId="29" xfId="0" applyFont="1" applyFill="1" applyBorder="1" applyAlignment="1">
      <alignment vertical="top" wrapText="1"/>
    </xf>
    <xf numFmtId="0" fontId="25" fillId="7" borderId="0" xfId="0" applyFont="1" applyFill="1" applyAlignment="1">
      <alignment vertical="top" wrapText="1"/>
    </xf>
    <xf numFmtId="0" fontId="23" fillId="7" borderId="0" xfId="0" applyFont="1" applyFill="1" applyAlignment="1">
      <alignment vertical="top"/>
    </xf>
    <xf numFmtId="0" fontId="23" fillId="7" borderId="29" xfId="0" applyFont="1" applyFill="1" applyBorder="1" applyAlignment="1">
      <alignment horizontal="left" vertical="top" wrapText="1"/>
    </xf>
    <xf numFmtId="0" fontId="14" fillId="7" borderId="29" xfId="0" applyFont="1" applyFill="1" applyBorder="1" applyAlignment="1">
      <alignment vertical="top"/>
    </xf>
    <xf numFmtId="0" fontId="14" fillId="7" borderId="29" xfId="0" applyFont="1" applyFill="1" applyBorder="1" applyAlignment="1">
      <alignment vertical="top" wrapText="1"/>
    </xf>
    <xf numFmtId="0" fontId="25" fillId="7" borderId="0" xfId="0" applyFont="1" applyFill="1"/>
    <xf numFmtId="0" fontId="13" fillId="0" borderId="1" xfId="0" applyFont="1" applyBorder="1" applyAlignment="1">
      <alignment vertical="center" wrapText="1"/>
    </xf>
    <xf numFmtId="0" fontId="13" fillId="0" borderId="44" xfId="0" applyFont="1" applyBorder="1" applyAlignment="1">
      <alignment vertical="center" wrapText="1"/>
    </xf>
    <xf numFmtId="0" fontId="14" fillId="7" borderId="0" xfId="2" applyFont="1" applyFill="1" applyBorder="1" applyAlignment="1">
      <alignment vertical="top" wrapText="1"/>
    </xf>
    <xf numFmtId="0" fontId="14" fillId="7" borderId="0" xfId="0" applyFont="1" applyFill="1" applyBorder="1" applyAlignment="1">
      <alignment vertical="top"/>
    </xf>
    <xf numFmtId="0" fontId="14" fillId="7" borderId="0" xfId="0" applyFont="1" applyFill="1" applyBorder="1" applyAlignment="1">
      <alignment vertical="top" wrapText="1"/>
    </xf>
    <xf numFmtId="0" fontId="14" fillId="7" borderId="57" xfId="2" applyFont="1" applyFill="1" applyBorder="1" applyAlignment="1">
      <alignment vertical="top" wrapText="1"/>
    </xf>
    <xf numFmtId="0" fontId="14" fillId="7" borderId="57" xfId="0" applyFont="1" applyFill="1" applyBorder="1" applyAlignment="1">
      <alignment vertical="top"/>
    </xf>
    <xf numFmtId="0" fontId="14" fillId="7" borderId="57" xfId="0" applyFont="1" applyFill="1" applyBorder="1" applyAlignment="1">
      <alignment vertical="top" wrapText="1"/>
    </xf>
  </cellXfs>
  <cellStyles count="3">
    <cellStyle name="Normal" xfId="0" builtinId="0"/>
    <cellStyle name="Normal_Functional Test Case v1.0" xfId="1" xr:uid="{EFEF794B-1C13-4951-9A49-E2FD17DF252D}"/>
    <cellStyle name="Normal_Sheet1" xfId="2" xr:uid="{954AC594-5940-48C1-965F-9E5164C83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GU\kiem%20thu%20phan%20mem\nop%20bai\tuan%207\6.%20Test%20Case%20Template.xls" TargetMode="External"/><Relationship Id="rId1" Type="http://schemas.openxmlformats.org/officeDocument/2006/relationships/externalLinkPath" Target="https://d.docs.live.net/cfcaa402680ef756/Desktop/HK1_N&#258;M%204/Ki&#7875;m%20Th&#7917;%20Ph&#7847;n%20M&#7873;m/b&#224;i%20t&#7853;p%20tu&#7847;n%206%20TESTCASE/6.%20Test%20Case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SGU\2.%20KTPM\b&#224;i%20t&#7853;p%20tu&#7847;n%206%20TESTCASE\Test%20case%20Module%201,2%20-%20Test%20Report.xlsx" TargetMode="External"/><Relationship Id="rId1" Type="http://schemas.openxmlformats.org/officeDocument/2006/relationships/externalLinkPath" Target="b&#224;i%20t&#7853;p%20tu&#7847;n%206%20TESTCASE/Test%20case%20Module%201,2%20-%20Tes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case List"/>
      <sheetName val="Module1"/>
      <sheetName val="Module2"/>
      <sheetName val="Test Report"/>
    </sheetNames>
    <sheetDataSet>
      <sheetData sheetId="0" refreshError="1"/>
      <sheetData sheetId="1" refreshError="1"/>
      <sheetData sheetId="2" refreshError="1">
        <row r="2">
          <cell r="B2" t="str">
            <v xml:space="preserve">Module1 </v>
          </cell>
        </row>
      </sheetData>
      <sheetData sheetId="3" refreshError="1">
        <row r="2">
          <cell r="B2" t="str">
            <v>Module2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Case List"/>
      <sheetName val="Module1"/>
      <sheetName val="Module2"/>
      <sheetName val="Test Report"/>
    </sheetNames>
    <sheetDataSet>
      <sheetData sheetId="0" refreshError="1"/>
      <sheetData sheetId="1">
        <row r="6">
          <cell r="A6">
            <v>0</v>
          </cell>
          <cell r="B6">
            <v>0</v>
          </cell>
          <cell r="D6">
            <v>0</v>
          </cell>
        </row>
      </sheetData>
      <sheetData sheetId="2">
        <row r="6">
          <cell r="A6">
            <v>1</v>
          </cell>
          <cell r="B6">
            <v>0</v>
          </cell>
          <cell r="D6">
            <v>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35AC-D379-4141-8B71-DD923B952B3F}">
  <dimension ref="A1:E11"/>
  <sheetViews>
    <sheetView topLeftCell="A4" workbookViewId="0">
      <selection activeCell="D10" sqref="D10"/>
    </sheetView>
  </sheetViews>
  <sheetFormatPr defaultRowHeight="13.8"/>
  <cols>
    <col min="1" max="1" width="8.69921875" customWidth="1"/>
    <col min="2" max="3" width="26" customWidth="1"/>
    <col min="4" max="4" width="41.796875" customWidth="1"/>
    <col min="5" max="5" width="27.69921875" customWidth="1"/>
  </cols>
  <sheetData>
    <row r="1" spans="1:5" ht="24.6">
      <c r="A1" s="1" t="s">
        <v>0</v>
      </c>
      <c r="B1" s="1"/>
      <c r="C1" s="1"/>
      <c r="D1" s="1"/>
      <c r="E1" s="1"/>
    </row>
    <row r="2" spans="1:5" ht="13.8" customHeight="1" thickBot="1">
      <c r="A2" s="2"/>
      <c r="B2" s="2"/>
      <c r="C2" s="2"/>
      <c r="D2" s="2"/>
      <c r="E2" s="2"/>
    </row>
    <row r="3" spans="1:5" ht="25.8" customHeight="1" thickBot="1">
      <c r="A3" s="3" t="s">
        <v>1</v>
      </c>
      <c r="B3" s="4"/>
      <c r="C3" s="5" t="s">
        <v>2</v>
      </c>
      <c r="D3" s="6"/>
      <c r="E3" s="7"/>
    </row>
    <row r="4" spans="1:5" ht="21" customHeight="1" thickBot="1">
      <c r="A4" s="3" t="s">
        <v>3</v>
      </c>
      <c r="B4" s="4"/>
      <c r="C4" s="5"/>
      <c r="D4" s="6"/>
      <c r="E4" s="7"/>
    </row>
    <row r="5" spans="1:5" ht="54.6" customHeight="1" thickBot="1">
      <c r="A5" s="8" t="s">
        <v>4</v>
      </c>
      <c r="B5" s="9"/>
      <c r="C5" s="10" t="s">
        <v>5</v>
      </c>
      <c r="D5" s="11"/>
      <c r="E5" s="12"/>
    </row>
    <row r="6" spans="1:5" ht="14.4" thickBot="1"/>
    <row r="7" spans="1:5">
      <c r="A7" s="46" t="s">
        <v>6</v>
      </c>
      <c r="B7" s="47" t="s">
        <v>7</v>
      </c>
      <c r="C7" s="47" t="s">
        <v>8</v>
      </c>
      <c r="D7" s="47" t="s">
        <v>9</v>
      </c>
      <c r="E7" s="48" t="s">
        <v>10</v>
      </c>
    </row>
    <row r="8" spans="1:5" ht="96.6">
      <c r="A8" s="49">
        <v>1</v>
      </c>
      <c r="B8" s="50" t="s">
        <v>11</v>
      </c>
      <c r="C8" s="51" t="s">
        <v>12</v>
      </c>
      <c r="D8" s="91" t="s">
        <v>57</v>
      </c>
      <c r="E8" s="134" t="s">
        <v>108</v>
      </c>
    </row>
    <row r="9" spans="1:5" ht="55.2">
      <c r="A9" s="49">
        <v>2</v>
      </c>
      <c r="B9" s="50" t="s">
        <v>13</v>
      </c>
      <c r="C9" s="51" t="s">
        <v>12</v>
      </c>
      <c r="D9" s="92" t="s">
        <v>58</v>
      </c>
      <c r="E9" s="134" t="s">
        <v>107</v>
      </c>
    </row>
    <row r="10" spans="1:5" ht="85.8" customHeight="1">
      <c r="A10" s="49">
        <v>3</v>
      </c>
      <c r="B10" s="50" t="s">
        <v>14</v>
      </c>
      <c r="C10" s="51" t="s">
        <v>15</v>
      </c>
      <c r="D10" s="92" t="s">
        <v>103</v>
      </c>
      <c r="E10" s="135" t="s">
        <v>106</v>
      </c>
    </row>
    <row r="11" spans="1:5" ht="69.599999999999994" customHeight="1" thickBot="1">
      <c r="A11" s="52">
        <v>4</v>
      </c>
      <c r="B11" s="53" t="s">
        <v>16</v>
      </c>
      <c r="C11" s="54" t="s">
        <v>15</v>
      </c>
      <c r="D11" s="92" t="s">
        <v>104</v>
      </c>
      <c r="E11" s="134" t="s">
        <v>105</v>
      </c>
    </row>
  </sheetData>
  <mergeCells count="7">
    <mergeCell ref="A1:E1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E9D5-619F-48B8-855D-A59416CAF80D}">
  <dimension ref="A1:G18"/>
  <sheetViews>
    <sheetView workbookViewId="0">
      <selection activeCell="D10" sqref="D10"/>
    </sheetView>
  </sheetViews>
  <sheetFormatPr defaultRowHeight="13.8"/>
  <cols>
    <col min="1" max="2" width="20.5" customWidth="1"/>
    <col min="3" max="3" width="24.8984375" customWidth="1"/>
    <col min="4" max="6" width="20.5" customWidth="1"/>
    <col min="7" max="7" width="21.8984375" bestFit="1" customWidth="1"/>
  </cols>
  <sheetData>
    <row r="1" spans="1:7" ht="14.4" thickBot="1">
      <c r="A1" s="13"/>
      <c r="B1" s="14"/>
      <c r="C1" s="14"/>
      <c r="D1" s="14"/>
      <c r="E1" s="14"/>
      <c r="F1" s="14"/>
      <c r="G1" s="15"/>
    </row>
    <row r="2" spans="1:7" ht="26.4">
      <c r="A2" s="16" t="s">
        <v>17</v>
      </c>
      <c r="B2" s="17" t="s">
        <v>18</v>
      </c>
      <c r="C2" s="18"/>
      <c r="D2" s="18"/>
      <c r="E2" s="18"/>
      <c r="F2" s="19"/>
      <c r="G2" s="15"/>
    </row>
    <row r="3" spans="1:7" ht="39.6">
      <c r="A3" s="20" t="s">
        <v>19</v>
      </c>
      <c r="B3" s="21" t="s">
        <v>20</v>
      </c>
      <c r="C3" s="18"/>
      <c r="D3" s="18"/>
      <c r="E3" s="18"/>
      <c r="F3" s="19"/>
      <c r="G3" s="15"/>
    </row>
    <row r="4" spans="1:7">
      <c r="A4" s="16" t="s">
        <v>21</v>
      </c>
      <c r="B4" s="22" t="s">
        <v>111</v>
      </c>
      <c r="C4" s="23"/>
      <c r="D4" s="23"/>
      <c r="E4" s="23"/>
      <c r="F4" s="24"/>
      <c r="G4" s="15"/>
    </row>
    <row r="5" spans="1:7">
      <c r="A5" s="25" t="s">
        <v>22</v>
      </c>
      <c r="B5" s="26" t="s">
        <v>23</v>
      </c>
      <c r="C5" s="26" t="s">
        <v>24</v>
      </c>
      <c r="D5" s="27" t="s">
        <v>25</v>
      </c>
      <c r="E5" s="28" t="s">
        <v>26</v>
      </c>
      <c r="F5" s="19"/>
      <c r="G5" s="29"/>
    </row>
    <row r="6" spans="1:7" ht="14.4" thickBot="1">
      <c r="A6" s="30">
        <f>COUNTIF(F10:F996,"Pass")</f>
        <v>0</v>
      </c>
      <c r="B6" s="31">
        <f>COUNTIF(F10:F996,"Fail")</f>
        <v>0</v>
      </c>
      <c r="C6" s="31">
        <f>E6-D6-B6-A6</f>
        <v>8</v>
      </c>
      <c r="D6" s="32">
        <f>COUNTIF(F$10:F$996,"N/A")</f>
        <v>0</v>
      </c>
      <c r="E6" s="33">
        <f>COUNTA(A10:A996)</f>
        <v>8</v>
      </c>
      <c r="F6" s="34"/>
      <c r="G6" s="29"/>
    </row>
    <row r="7" spans="1:7">
      <c r="A7" s="35"/>
      <c r="B7" s="35"/>
      <c r="C7" s="35"/>
      <c r="D7" s="29"/>
      <c r="E7" s="29"/>
      <c r="F7" s="29"/>
      <c r="G7" s="29"/>
    </row>
    <row r="8" spans="1:7" ht="52.8">
      <c r="A8" s="36" t="s">
        <v>27</v>
      </c>
      <c r="B8" s="36" t="s">
        <v>28</v>
      </c>
      <c r="C8" s="36" t="s">
        <v>29</v>
      </c>
      <c r="D8" s="36" t="s">
        <v>30</v>
      </c>
      <c r="E8" s="37" t="s">
        <v>31</v>
      </c>
      <c r="F8" s="37" t="s">
        <v>32</v>
      </c>
      <c r="G8" s="36" t="s">
        <v>9</v>
      </c>
    </row>
    <row r="9" spans="1:7">
      <c r="A9" s="38"/>
      <c r="B9" s="38" t="s">
        <v>11</v>
      </c>
      <c r="C9" s="39"/>
      <c r="D9" s="39"/>
      <c r="E9" s="39"/>
      <c r="F9" s="39"/>
      <c r="G9" s="40"/>
    </row>
    <row r="10" spans="1:7" ht="128.4" customHeight="1">
      <c r="A10" s="41" t="s">
        <v>33</v>
      </c>
      <c r="B10" s="41" t="s">
        <v>56</v>
      </c>
      <c r="C10" s="41" t="s">
        <v>59</v>
      </c>
      <c r="D10" s="42" t="s">
        <v>34</v>
      </c>
      <c r="E10" s="42" t="s">
        <v>115</v>
      </c>
      <c r="F10" s="41" t="s">
        <v>35</v>
      </c>
      <c r="G10" s="41" t="s">
        <v>36</v>
      </c>
    </row>
    <row r="11" spans="1:7" ht="128.4" customHeight="1">
      <c r="A11" s="41" t="s">
        <v>37</v>
      </c>
      <c r="B11" s="41" t="s">
        <v>53</v>
      </c>
      <c r="C11" s="41" t="s">
        <v>60</v>
      </c>
      <c r="D11" s="44" t="s">
        <v>43</v>
      </c>
      <c r="E11" s="42" t="s">
        <v>114</v>
      </c>
      <c r="F11" s="41" t="s">
        <v>35</v>
      </c>
      <c r="G11" s="41" t="s">
        <v>44</v>
      </c>
    </row>
    <row r="12" spans="1:7" ht="128.4" customHeight="1">
      <c r="A12" s="43" t="s">
        <v>42</v>
      </c>
      <c r="B12" s="43" t="s">
        <v>54</v>
      </c>
      <c r="C12" s="43" t="s">
        <v>61</v>
      </c>
      <c r="D12" s="42" t="s">
        <v>38</v>
      </c>
      <c r="E12" s="44" t="s">
        <v>116</v>
      </c>
      <c r="F12" s="43" t="s">
        <v>35</v>
      </c>
      <c r="G12" s="43" t="s">
        <v>39</v>
      </c>
    </row>
    <row r="13" spans="1:7" ht="128.4" customHeight="1">
      <c r="A13" s="43" t="s">
        <v>40</v>
      </c>
      <c r="B13" s="43" t="s">
        <v>55</v>
      </c>
      <c r="C13" s="43" t="s">
        <v>62</v>
      </c>
      <c r="D13" s="93" t="s">
        <v>121</v>
      </c>
      <c r="E13" s="44" t="s">
        <v>117</v>
      </c>
      <c r="F13" s="43" t="s">
        <v>35</v>
      </c>
      <c r="G13" s="43" t="s">
        <v>41</v>
      </c>
    </row>
    <row r="14" spans="1:7" ht="128.4" customHeight="1">
      <c r="A14" s="43" t="s">
        <v>65</v>
      </c>
      <c r="B14" s="43" t="s">
        <v>63</v>
      </c>
      <c r="C14" s="43" t="s">
        <v>118</v>
      </c>
      <c r="D14" s="43" t="s">
        <v>120</v>
      </c>
      <c r="E14" s="43" t="s">
        <v>119</v>
      </c>
      <c r="F14" s="43" t="s">
        <v>35</v>
      </c>
      <c r="G14" s="43" t="s">
        <v>41</v>
      </c>
    </row>
    <row r="15" spans="1:7" ht="128.4" customHeight="1">
      <c r="A15" s="43" t="s">
        <v>66</v>
      </c>
      <c r="B15" s="43" t="s">
        <v>64</v>
      </c>
      <c r="C15" s="43" t="s">
        <v>123</v>
      </c>
      <c r="D15" s="43" t="s">
        <v>122</v>
      </c>
      <c r="E15" s="43" t="s">
        <v>124</v>
      </c>
      <c r="F15" s="43" t="s">
        <v>35</v>
      </c>
      <c r="G15" s="45" t="s">
        <v>125</v>
      </c>
    </row>
    <row r="16" spans="1:7">
      <c r="A16" s="38"/>
      <c r="B16" s="38" t="s">
        <v>13</v>
      </c>
      <c r="C16" s="39"/>
      <c r="D16" s="39"/>
      <c r="E16" s="39"/>
      <c r="F16" s="39"/>
      <c r="G16" s="40"/>
    </row>
    <row r="17" spans="1:7" ht="66.599999999999994" customHeight="1">
      <c r="A17" s="43" t="s">
        <v>45</v>
      </c>
      <c r="B17" s="43" t="s">
        <v>68</v>
      </c>
      <c r="C17" s="43" t="s">
        <v>112</v>
      </c>
      <c r="D17" s="43" t="s">
        <v>46</v>
      </c>
      <c r="E17" s="43" t="s">
        <v>113</v>
      </c>
      <c r="F17" s="43" t="s">
        <v>35</v>
      </c>
      <c r="G17" s="43" t="s">
        <v>47</v>
      </c>
    </row>
    <row r="18" spans="1:7" ht="66.599999999999994" customHeight="1">
      <c r="A18" s="43" t="s">
        <v>48</v>
      </c>
      <c r="B18" s="43" t="s">
        <v>67</v>
      </c>
      <c r="C18" s="43" t="s">
        <v>49</v>
      </c>
      <c r="D18" s="43" t="s">
        <v>50</v>
      </c>
      <c r="E18" s="43" t="s">
        <v>51</v>
      </c>
      <c r="F18" s="43" t="s">
        <v>35</v>
      </c>
      <c r="G18" s="45" t="s">
        <v>52</v>
      </c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8" xr:uid="{2D074B48-5FA2-448B-837E-52325D3AA751}">
      <formula1>$I$2:$I$6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A953-2D8A-48B3-AAAE-B5964D6AD4E7}">
  <dimension ref="A1:K19"/>
  <sheetViews>
    <sheetView zoomScaleNormal="100" workbookViewId="0">
      <selection activeCell="B18" sqref="B18"/>
    </sheetView>
  </sheetViews>
  <sheetFormatPr defaultColWidth="9" defaultRowHeight="13.2"/>
  <cols>
    <col min="1" max="1" width="11.5" style="55" customWidth="1"/>
    <col min="2" max="2" width="19.09765625" style="55" customWidth="1"/>
    <col min="3" max="3" width="25.59765625" style="55" customWidth="1"/>
    <col min="4" max="4" width="30.09765625" style="55" customWidth="1"/>
    <col min="5" max="5" width="16.8984375" style="55" customWidth="1"/>
    <col min="6" max="6" width="11.5" style="55" customWidth="1"/>
    <col min="7" max="7" width="10.5" style="55" bestFit="1" customWidth="1"/>
    <col min="8" max="8" width="20.3984375" style="55" customWidth="1"/>
    <col min="9" max="9" width="8.19921875" style="133" customWidth="1"/>
    <col min="10" max="10" width="11.8984375" style="55" hidden="1" customWidth="1"/>
    <col min="11" max="256" width="9" style="55"/>
    <col min="257" max="257" width="11.5" style="55" customWidth="1"/>
    <col min="258" max="258" width="19.09765625" style="55" customWidth="1"/>
    <col min="259" max="259" width="25.59765625" style="55" customWidth="1"/>
    <col min="260" max="260" width="30.09765625" style="55" customWidth="1"/>
    <col min="261" max="261" width="16.8984375" style="55" customWidth="1"/>
    <col min="262" max="262" width="11.5" style="55" customWidth="1"/>
    <col min="263" max="263" width="10.5" style="55" bestFit="1" customWidth="1"/>
    <col min="264" max="264" width="17.59765625" style="55" customWidth="1"/>
    <col min="265" max="265" width="8.19921875" style="55" customWidth="1"/>
    <col min="266" max="266" width="0" style="55" hidden="1" customWidth="1"/>
    <col min="267" max="512" width="9" style="55"/>
    <col min="513" max="513" width="11.5" style="55" customWidth="1"/>
    <col min="514" max="514" width="19.09765625" style="55" customWidth="1"/>
    <col min="515" max="515" width="25.59765625" style="55" customWidth="1"/>
    <col min="516" max="516" width="30.09765625" style="55" customWidth="1"/>
    <col min="517" max="517" width="16.8984375" style="55" customWidth="1"/>
    <col min="518" max="518" width="11.5" style="55" customWidth="1"/>
    <col min="519" max="519" width="10.5" style="55" bestFit="1" customWidth="1"/>
    <col min="520" max="520" width="17.59765625" style="55" customWidth="1"/>
    <col min="521" max="521" width="8.19921875" style="55" customWidth="1"/>
    <col min="522" max="522" width="0" style="55" hidden="1" customWidth="1"/>
    <col min="523" max="768" width="9" style="55"/>
    <col min="769" max="769" width="11.5" style="55" customWidth="1"/>
    <col min="770" max="770" width="19.09765625" style="55" customWidth="1"/>
    <col min="771" max="771" width="25.59765625" style="55" customWidth="1"/>
    <col min="772" max="772" width="30.09765625" style="55" customWidth="1"/>
    <col min="773" max="773" width="16.8984375" style="55" customWidth="1"/>
    <col min="774" max="774" width="11.5" style="55" customWidth="1"/>
    <col min="775" max="775" width="10.5" style="55" bestFit="1" customWidth="1"/>
    <col min="776" max="776" width="17.59765625" style="55" customWidth="1"/>
    <col min="777" max="777" width="8.19921875" style="55" customWidth="1"/>
    <col min="778" max="778" width="0" style="55" hidden="1" customWidth="1"/>
    <col min="779" max="1024" width="9" style="55"/>
    <col min="1025" max="1025" width="11.5" style="55" customWidth="1"/>
    <col min="1026" max="1026" width="19.09765625" style="55" customWidth="1"/>
    <col min="1027" max="1027" width="25.59765625" style="55" customWidth="1"/>
    <col min="1028" max="1028" width="30.09765625" style="55" customWidth="1"/>
    <col min="1029" max="1029" width="16.8984375" style="55" customWidth="1"/>
    <col min="1030" max="1030" width="11.5" style="55" customWidth="1"/>
    <col min="1031" max="1031" width="10.5" style="55" bestFit="1" customWidth="1"/>
    <col min="1032" max="1032" width="17.59765625" style="55" customWidth="1"/>
    <col min="1033" max="1033" width="8.19921875" style="55" customWidth="1"/>
    <col min="1034" max="1034" width="0" style="55" hidden="1" customWidth="1"/>
    <col min="1035" max="1280" width="9" style="55"/>
    <col min="1281" max="1281" width="11.5" style="55" customWidth="1"/>
    <col min="1282" max="1282" width="19.09765625" style="55" customWidth="1"/>
    <col min="1283" max="1283" width="25.59765625" style="55" customWidth="1"/>
    <col min="1284" max="1284" width="30.09765625" style="55" customWidth="1"/>
    <col min="1285" max="1285" width="16.8984375" style="55" customWidth="1"/>
    <col min="1286" max="1286" width="11.5" style="55" customWidth="1"/>
    <col min="1287" max="1287" width="10.5" style="55" bestFit="1" customWidth="1"/>
    <col min="1288" max="1288" width="17.59765625" style="55" customWidth="1"/>
    <col min="1289" max="1289" width="8.19921875" style="55" customWidth="1"/>
    <col min="1290" max="1290" width="0" style="55" hidden="1" customWidth="1"/>
    <col min="1291" max="1536" width="9" style="55"/>
    <col min="1537" max="1537" width="11.5" style="55" customWidth="1"/>
    <col min="1538" max="1538" width="19.09765625" style="55" customWidth="1"/>
    <col min="1539" max="1539" width="25.59765625" style="55" customWidth="1"/>
    <col min="1540" max="1540" width="30.09765625" style="55" customWidth="1"/>
    <col min="1541" max="1541" width="16.8984375" style="55" customWidth="1"/>
    <col min="1542" max="1542" width="11.5" style="55" customWidth="1"/>
    <col min="1543" max="1543" width="10.5" style="55" bestFit="1" customWidth="1"/>
    <col min="1544" max="1544" width="17.59765625" style="55" customWidth="1"/>
    <col min="1545" max="1545" width="8.19921875" style="55" customWidth="1"/>
    <col min="1546" max="1546" width="0" style="55" hidden="1" customWidth="1"/>
    <col min="1547" max="1792" width="9" style="55"/>
    <col min="1793" max="1793" width="11.5" style="55" customWidth="1"/>
    <col min="1794" max="1794" width="19.09765625" style="55" customWidth="1"/>
    <col min="1795" max="1795" width="25.59765625" style="55" customWidth="1"/>
    <col min="1796" max="1796" width="30.09765625" style="55" customWidth="1"/>
    <col min="1797" max="1797" width="16.8984375" style="55" customWidth="1"/>
    <col min="1798" max="1798" width="11.5" style="55" customWidth="1"/>
    <col min="1799" max="1799" width="10.5" style="55" bestFit="1" customWidth="1"/>
    <col min="1800" max="1800" width="17.59765625" style="55" customWidth="1"/>
    <col min="1801" max="1801" width="8.19921875" style="55" customWidth="1"/>
    <col min="1802" max="1802" width="0" style="55" hidden="1" customWidth="1"/>
    <col min="1803" max="2048" width="9" style="55"/>
    <col min="2049" max="2049" width="11.5" style="55" customWidth="1"/>
    <col min="2050" max="2050" width="19.09765625" style="55" customWidth="1"/>
    <col min="2051" max="2051" width="25.59765625" style="55" customWidth="1"/>
    <col min="2052" max="2052" width="30.09765625" style="55" customWidth="1"/>
    <col min="2053" max="2053" width="16.8984375" style="55" customWidth="1"/>
    <col min="2054" max="2054" width="11.5" style="55" customWidth="1"/>
    <col min="2055" max="2055" width="10.5" style="55" bestFit="1" customWidth="1"/>
    <col min="2056" max="2056" width="17.59765625" style="55" customWidth="1"/>
    <col min="2057" max="2057" width="8.19921875" style="55" customWidth="1"/>
    <col min="2058" max="2058" width="0" style="55" hidden="1" customWidth="1"/>
    <col min="2059" max="2304" width="9" style="55"/>
    <col min="2305" max="2305" width="11.5" style="55" customWidth="1"/>
    <col min="2306" max="2306" width="19.09765625" style="55" customWidth="1"/>
    <col min="2307" max="2307" width="25.59765625" style="55" customWidth="1"/>
    <col min="2308" max="2308" width="30.09765625" style="55" customWidth="1"/>
    <col min="2309" max="2309" width="16.8984375" style="55" customWidth="1"/>
    <col min="2310" max="2310" width="11.5" style="55" customWidth="1"/>
    <col min="2311" max="2311" width="10.5" style="55" bestFit="1" customWidth="1"/>
    <col min="2312" max="2312" width="17.59765625" style="55" customWidth="1"/>
    <col min="2313" max="2313" width="8.19921875" style="55" customWidth="1"/>
    <col min="2314" max="2314" width="0" style="55" hidden="1" customWidth="1"/>
    <col min="2315" max="2560" width="9" style="55"/>
    <col min="2561" max="2561" width="11.5" style="55" customWidth="1"/>
    <col min="2562" max="2562" width="19.09765625" style="55" customWidth="1"/>
    <col min="2563" max="2563" width="25.59765625" style="55" customWidth="1"/>
    <col min="2564" max="2564" width="30.09765625" style="55" customWidth="1"/>
    <col min="2565" max="2565" width="16.8984375" style="55" customWidth="1"/>
    <col min="2566" max="2566" width="11.5" style="55" customWidth="1"/>
    <col min="2567" max="2567" width="10.5" style="55" bestFit="1" customWidth="1"/>
    <col min="2568" max="2568" width="17.59765625" style="55" customWidth="1"/>
    <col min="2569" max="2569" width="8.19921875" style="55" customWidth="1"/>
    <col min="2570" max="2570" width="0" style="55" hidden="1" customWidth="1"/>
    <col min="2571" max="2816" width="9" style="55"/>
    <col min="2817" max="2817" width="11.5" style="55" customWidth="1"/>
    <col min="2818" max="2818" width="19.09765625" style="55" customWidth="1"/>
    <col min="2819" max="2819" width="25.59765625" style="55" customWidth="1"/>
    <col min="2820" max="2820" width="30.09765625" style="55" customWidth="1"/>
    <col min="2821" max="2821" width="16.8984375" style="55" customWidth="1"/>
    <col min="2822" max="2822" width="11.5" style="55" customWidth="1"/>
    <col min="2823" max="2823" width="10.5" style="55" bestFit="1" customWidth="1"/>
    <col min="2824" max="2824" width="17.59765625" style="55" customWidth="1"/>
    <col min="2825" max="2825" width="8.19921875" style="55" customWidth="1"/>
    <col min="2826" max="2826" width="0" style="55" hidden="1" customWidth="1"/>
    <col min="2827" max="3072" width="9" style="55"/>
    <col min="3073" max="3073" width="11.5" style="55" customWidth="1"/>
    <col min="3074" max="3074" width="19.09765625" style="55" customWidth="1"/>
    <col min="3075" max="3075" width="25.59765625" style="55" customWidth="1"/>
    <col min="3076" max="3076" width="30.09765625" style="55" customWidth="1"/>
    <col min="3077" max="3077" width="16.8984375" style="55" customWidth="1"/>
    <col min="3078" max="3078" width="11.5" style="55" customWidth="1"/>
    <col min="3079" max="3079" width="10.5" style="55" bestFit="1" customWidth="1"/>
    <col min="3080" max="3080" width="17.59765625" style="55" customWidth="1"/>
    <col min="3081" max="3081" width="8.19921875" style="55" customWidth="1"/>
    <col min="3082" max="3082" width="0" style="55" hidden="1" customWidth="1"/>
    <col min="3083" max="3328" width="9" style="55"/>
    <col min="3329" max="3329" width="11.5" style="55" customWidth="1"/>
    <col min="3330" max="3330" width="19.09765625" style="55" customWidth="1"/>
    <col min="3331" max="3331" width="25.59765625" style="55" customWidth="1"/>
    <col min="3332" max="3332" width="30.09765625" style="55" customWidth="1"/>
    <col min="3333" max="3333" width="16.8984375" style="55" customWidth="1"/>
    <col min="3334" max="3334" width="11.5" style="55" customWidth="1"/>
    <col min="3335" max="3335" width="10.5" style="55" bestFit="1" customWidth="1"/>
    <col min="3336" max="3336" width="17.59765625" style="55" customWidth="1"/>
    <col min="3337" max="3337" width="8.19921875" style="55" customWidth="1"/>
    <col min="3338" max="3338" width="0" style="55" hidden="1" customWidth="1"/>
    <col min="3339" max="3584" width="9" style="55"/>
    <col min="3585" max="3585" width="11.5" style="55" customWidth="1"/>
    <col min="3586" max="3586" width="19.09765625" style="55" customWidth="1"/>
    <col min="3587" max="3587" width="25.59765625" style="55" customWidth="1"/>
    <col min="3588" max="3588" width="30.09765625" style="55" customWidth="1"/>
    <col min="3589" max="3589" width="16.8984375" style="55" customWidth="1"/>
    <col min="3590" max="3590" width="11.5" style="55" customWidth="1"/>
    <col min="3591" max="3591" width="10.5" style="55" bestFit="1" customWidth="1"/>
    <col min="3592" max="3592" width="17.59765625" style="55" customWidth="1"/>
    <col min="3593" max="3593" width="8.19921875" style="55" customWidth="1"/>
    <col min="3594" max="3594" width="0" style="55" hidden="1" customWidth="1"/>
    <col min="3595" max="3840" width="9" style="55"/>
    <col min="3841" max="3841" width="11.5" style="55" customWidth="1"/>
    <col min="3842" max="3842" width="19.09765625" style="55" customWidth="1"/>
    <col min="3843" max="3843" width="25.59765625" style="55" customWidth="1"/>
    <col min="3844" max="3844" width="30.09765625" style="55" customWidth="1"/>
    <col min="3845" max="3845" width="16.8984375" style="55" customWidth="1"/>
    <col min="3846" max="3846" width="11.5" style="55" customWidth="1"/>
    <col min="3847" max="3847" width="10.5" style="55" bestFit="1" customWidth="1"/>
    <col min="3848" max="3848" width="17.59765625" style="55" customWidth="1"/>
    <col min="3849" max="3849" width="8.19921875" style="55" customWidth="1"/>
    <col min="3850" max="3850" width="0" style="55" hidden="1" customWidth="1"/>
    <col min="3851" max="4096" width="9" style="55"/>
    <col min="4097" max="4097" width="11.5" style="55" customWidth="1"/>
    <col min="4098" max="4098" width="19.09765625" style="55" customWidth="1"/>
    <col min="4099" max="4099" width="25.59765625" style="55" customWidth="1"/>
    <col min="4100" max="4100" width="30.09765625" style="55" customWidth="1"/>
    <col min="4101" max="4101" width="16.8984375" style="55" customWidth="1"/>
    <col min="4102" max="4102" width="11.5" style="55" customWidth="1"/>
    <col min="4103" max="4103" width="10.5" style="55" bestFit="1" customWidth="1"/>
    <col min="4104" max="4104" width="17.59765625" style="55" customWidth="1"/>
    <col min="4105" max="4105" width="8.19921875" style="55" customWidth="1"/>
    <col min="4106" max="4106" width="0" style="55" hidden="1" customWidth="1"/>
    <col min="4107" max="4352" width="9" style="55"/>
    <col min="4353" max="4353" width="11.5" style="55" customWidth="1"/>
    <col min="4354" max="4354" width="19.09765625" style="55" customWidth="1"/>
    <col min="4355" max="4355" width="25.59765625" style="55" customWidth="1"/>
    <col min="4356" max="4356" width="30.09765625" style="55" customWidth="1"/>
    <col min="4357" max="4357" width="16.8984375" style="55" customWidth="1"/>
    <col min="4358" max="4358" width="11.5" style="55" customWidth="1"/>
    <col min="4359" max="4359" width="10.5" style="55" bestFit="1" customWidth="1"/>
    <col min="4360" max="4360" width="17.59765625" style="55" customWidth="1"/>
    <col min="4361" max="4361" width="8.19921875" style="55" customWidth="1"/>
    <col min="4362" max="4362" width="0" style="55" hidden="1" customWidth="1"/>
    <col min="4363" max="4608" width="9" style="55"/>
    <col min="4609" max="4609" width="11.5" style="55" customWidth="1"/>
    <col min="4610" max="4610" width="19.09765625" style="55" customWidth="1"/>
    <col min="4611" max="4611" width="25.59765625" style="55" customWidth="1"/>
    <col min="4612" max="4612" width="30.09765625" style="55" customWidth="1"/>
    <col min="4613" max="4613" width="16.8984375" style="55" customWidth="1"/>
    <col min="4614" max="4614" width="11.5" style="55" customWidth="1"/>
    <col min="4615" max="4615" width="10.5" style="55" bestFit="1" customWidth="1"/>
    <col min="4616" max="4616" width="17.59765625" style="55" customWidth="1"/>
    <col min="4617" max="4617" width="8.19921875" style="55" customWidth="1"/>
    <col min="4618" max="4618" width="0" style="55" hidden="1" customWidth="1"/>
    <col min="4619" max="4864" width="9" style="55"/>
    <col min="4865" max="4865" width="11.5" style="55" customWidth="1"/>
    <col min="4866" max="4866" width="19.09765625" style="55" customWidth="1"/>
    <col min="4867" max="4867" width="25.59765625" style="55" customWidth="1"/>
    <col min="4868" max="4868" width="30.09765625" style="55" customWidth="1"/>
    <col min="4869" max="4869" width="16.8984375" style="55" customWidth="1"/>
    <col min="4870" max="4870" width="11.5" style="55" customWidth="1"/>
    <col min="4871" max="4871" width="10.5" style="55" bestFit="1" customWidth="1"/>
    <col min="4872" max="4872" width="17.59765625" style="55" customWidth="1"/>
    <col min="4873" max="4873" width="8.19921875" style="55" customWidth="1"/>
    <col min="4874" max="4874" width="0" style="55" hidden="1" customWidth="1"/>
    <col min="4875" max="5120" width="9" style="55"/>
    <col min="5121" max="5121" width="11.5" style="55" customWidth="1"/>
    <col min="5122" max="5122" width="19.09765625" style="55" customWidth="1"/>
    <col min="5123" max="5123" width="25.59765625" style="55" customWidth="1"/>
    <col min="5124" max="5124" width="30.09765625" style="55" customWidth="1"/>
    <col min="5125" max="5125" width="16.8984375" style="55" customWidth="1"/>
    <col min="5126" max="5126" width="11.5" style="55" customWidth="1"/>
    <col min="5127" max="5127" width="10.5" style="55" bestFit="1" customWidth="1"/>
    <col min="5128" max="5128" width="17.59765625" style="55" customWidth="1"/>
    <col min="5129" max="5129" width="8.19921875" style="55" customWidth="1"/>
    <col min="5130" max="5130" width="0" style="55" hidden="1" customWidth="1"/>
    <col min="5131" max="5376" width="9" style="55"/>
    <col min="5377" max="5377" width="11.5" style="55" customWidth="1"/>
    <col min="5378" max="5378" width="19.09765625" style="55" customWidth="1"/>
    <col min="5379" max="5379" width="25.59765625" style="55" customWidth="1"/>
    <col min="5380" max="5380" width="30.09765625" style="55" customWidth="1"/>
    <col min="5381" max="5381" width="16.8984375" style="55" customWidth="1"/>
    <col min="5382" max="5382" width="11.5" style="55" customWidth="1"/>
    <col min="5383" max="5383" width="10.5" style="55" bestFit="1" customWidth="1"/>
    <col min="5384" max="5384" width="17.59765625" style="55" customWidth="1"/>
    <col min="5385" max="5385" width="8.19921875" style="55" customWidth="1"/>
    <col min="5386" max="5386" width="0" style="55" hidden="1" customWidth="1"/>
    <col min="5387" max="5632" width="9" style="55"/>
    <col min="5633" max="5633" width="11.5" style="55" customWidth="1"/>
    <col min="5634" max="5634" width="19.09765625" style="55" customWidth="1"/>
    <col min="5635" max="5635" width="25.59765625" style="55" customWidth="1"/>
    <col min="5636" max="5636" width="30.09765625" style="55" customWidth="1"/>
    <col min="5637" max="5637" width="16.8984375" style="55" customWidth="1"/>
    <col min="5638" max="5638" width="11.5" style="55" customWidth="1"/>
    <col min="5639" max="5639" width="10.5" style="55" bestFit="1" customWidth="1"/>
    <col min="5640" max="5640" width="17.59765625" style="55" customWidth="1"/>
    <col min="5641" max="5641" width="8.19921875" style="55" customWidth="1"/>
    <col min="5642" max="5642" width="0" style="55" hidden="1" customWidth="1"/>
    <col min="5643" max="5888" width="9" style="55"/>
    <col min="5889" max="5889" width="11.5" style="55" customWidth="1"/>
    <col min="5890" max="5890" width="19.09765625" style="55" customWidth="1"/>
    <col min="5891" max="5891" width="25.59765625" style="55" customWidth="1"/>
    <col min="5892" max="5892" width="30.09765625" style="55" customWidth="1"/>
    <col min="5893" max="5893" width="16.8984375" style="55" customWidth="1"/>
    <col min="5894" max="5894" width="11.5" style="55" customWidth="1"/>
    <col min="5895" max="5895" width="10.5" style="55" bestFit="1" customWidth="1"/>
    <col min="5896" max="5896" width="17.59765625" style="55" customWidth="1"/>
    <col min="5897" max="5897" width="8.19921875" style="55" customWidth="1"/>
    <col min="5898" max="5898" width="0" style="55" hidden="1" customWidth="1"/>
    <col min="5899" max="6144" width="9" style="55"/>
    <col min="6145" max="6145" width="11.5" style="55" customWidth="1"/>
    <col min="6146" max="6146" width="19.09765625" style="55" customWidth="1"/>
    <col min="6147" max="6147" width="25.59765625" style="55" customWidth="1"/>
    <col min="6148" max="6148" width="30.09765625" style="55" customWidth="1"/>
    <col min="6149" max="6149" width="16.8984375" style="55" customWidth="1"/>
    <col min="6150" max="6150" width="11.5" style="55" customWidth="1"/>
    <col min="6151" max="6151" width="10.5" style="55" bestFit="1" customWidth="1"/>
    <col min="6152" max="6152" width="17.59765625" style="55" customWidth="1"/>
    <col min="6153" max="6153" width="8.19921875" style="55" customWidth="1"/>
    <col min="6154" max="6154" width="0" style="55" hidden="1" customWidth="1"/>
    <col min="6155" max="6400" width="9" style="55"/>
    <col min="6401" max="6401" width="11.5" style="55" customWidth="1"/>
    <col min="6402" max="6402" width="19.09765625" style="55" customWidth="1"/>
    <col min="6403" max="6403" width="25.59765625" style="55" customWidth="1"/>
    <col min="6404" max="6404" width="30.09765625" style="55" customWidth="1"/>
    <col min="6405" max="6405" width="16.8984375" style="55" customWidth="1"/>
    <col min="6406" max="6406" width="11.5" style="55" customWidth="1"/>
    <col min="6407" max="6407" width="10.5" style="55" bestFit="1" customWidth="1"/>
    <col min="6408" max="6408" width="17.59765625" style="55" customWidth="1"/>
    <col min="6409" max="6409" width="8.19921875" style="55" customWidth="1"/>
    <col min="6410" max="6410" width="0" style="55" hidden="1" customWidth="1"/>
    <col min="6411" max="6656" width="9" style="55"/>
    <col min="6657" max="6657" width="11.5" style="55" customWidth="1"/>
    <col min="6658" max="6658" width="19.09765625" style="55" customWidth="1"/>
    <col min="6659" max="6659" width="25.59765625" style="55" customWidth="1"/>
    <col min="6660" max="6660" width="30.09765625" style="55" customWidth="1"/>
    <col min="6661" max="6661" width="16.8984375" style="55" customWidth="1"/>
    <col min="6662" max="6662" width="11.5" style="55" customWidth="1"/>
    <col min="6663" max="6663" width="10.5" style="55" bestFit="1" customWidth="1"/>
    <col min="6664" max="6664" width="17.59765625" style="55" customWidth="1"/>
    <col min="6665" max="6665" width="8.19921875" style="55" customWidth="1"/>
    <col min="6666" max="6666" width="0" style="55" hidden="1" customWidth="1"/>
    <col min="6667" max="6912" width="9" style="55"/>
    <col min="6913" max="6913" width="11.5" style="55" customWidth="1"/>
    <col min="6914" max="6914" width="19.09765625" style="55" customWidth="1"/>
    <col min="6915" max="6915" width="25.59765625" style="55" customWidth="1"/>
    <col min="6916" max="6916" width="30.09765625" style="55" customWidth="1"/>
    <col min="6917" max="6917" width="16.8984375" style="55" customWidth="1"/>
    <col min="6918" max="6918" width="11.5" style="55" customWidth="1"/>
    <col min="6919" max="6919" width="10.5" style="55" bestFit="1" customWidth="1"/>
    <col min="6920" max="6920" width="17.59765625" style="55" customWidth="1"/>
    <col min="6921" max="6921" width="8.19921875" style="55" customWidth="1"/>
    <col min="6922" max="6922" width="0" style="55" hidden="1" customWidth="1"/>
    <col min="6923" max="7168" width="9" style="55"/>
    <col min="7169" max="7169" width="11.5" style="55" customWidth="1"/>
    <col min="7170" max="7170" width="19.09765625" style="55" customWidth="1"/>
    <col min="7171" max="7171" width="25.59765625" style="55" customWidth="1"/>
    <col min="7172" max="7172" width="30.09765625" style="55" customWidth="1"/>
    <col min="7173" max="7173" width="16.8984375" style="55" customWidth="1"/>
    <col min="7174" max="7174" width="11.5" style="55" customWidth="1"/>
    <col min="7175" max="7175" width="10.5" style="55" bestFit="1" customWidth="1"/>
    <col min="7176" max="7176" width="17.59765625" style="55" customWidth="1"/>
    <col min="7177" max="7177" width="8.19921875" style="55" customWidth="1"/>
    <col min="7178" max="7178" width="0" style="55" hidden="1" customWidth="1"/>
    <col min="7179" max="7424" width="9" style="55"/>
    <col min="7425" max="7425" width="11.5" style="55" customWidth="1"/>
    <col min="7426" max="7426" width="19.09765625" style="55" customWidth="1"/>
    <col min="7427" max="7427" width="25.59765625" style="55" customWidth="1"/>
    <col min="7428" max="7428" width="30.09765625" style="55" customWidth="1"/>
    <col min="7429" max="7429" width="16.8984375" style="55" customWidth="1"/>
    <col min="7430" max="7430" width="11.5" style="55" customWidth="1"/>
    <col min="7431" max="7431" width="10.5" style="55" bestFit="1" customWidth="1"/>
    <col min="7432" max="7432" width="17.59765625" style="55" customWidth="1"/>
    <col min="7433" max="7433" width="8.19921875" style="55" customWidth="1"/>
    <col min="7434" max="7434" width="0" style="55" hidden="1" customWidth="1"/>
    <col min="7435" max="7680" width="9" style="55"/>
    <col min="7681" max="7681" width="11.5" style="55" customWidth="1"/>
    <col min="7682" max="7682" width="19.09765625" style="55" customWidth="1"/>
    <col min="7683" max="7683" width="25.59765625" style="55" customWidth="1"/>
    <col min="7684" max="7684" width="30.09765625" style="55" customWidth="1"/>
    <col min="7685" max="7685" width="16.8984375" style="55" customWidth="1"/>
    <col min="7686" max="7686" width="11.5" style="55" customWidth="1"/>
    <col min="7687" max="7687" width="10.5" style="55" bestFit="1" customWidth="1"/>
    <col min="7688" max="7688" width="17.59765625" style="55" customWidth="1"/>
    <col min="7689" max="7689" width="8.19921875" style="55" customWidth="1"/>
    <col min="7690" max="7690" width="0" style="55" hidden="1" customWidth="1"/>
    <col min="7691" max="7936" width="9" style="55"/>
    <col min="7937" max="7937" width="11.5" style="55" customWidth="1"/>
    <col min="7938" max="7938" width="19.09765625" style="55" customWidth="1"/>
    <col min="7939" max="7939" width="25.59765625" style="55" customWidth="1"/>
    <col min="7940" max="7940" width="30.09765625" style="55" customWidth="1"/>
    <col min="7941" max="7941" width="16.8984375" style="55" customWidth="1"/>
    <col min="7942" max="7942" width="11.5" style="55" customWidth="1"/>
    <col min="7943" max="7943" width="10.5" style="55" bestFit="1" customWidth="1"/>
    <col min="7944" max="7944" width="17.59765625" style="55" customWidth="1"/>
    <col min="7945" max="7945" width="8.19921875" style="55" customWidth="1"/>
    <col min="7946" max="7946" width="0" style="55" hidden="1" customWidth="1"/>
    <col min="7947" max="8192" width="9" style="55"/>
    <col min="8193" max="8193" width="11.5" style="55" customWidth="1"/>
    <col min="8194" max="8194" width="19.09765625" style="55" customWidth="1"/>
    <col min="8195" max="8195" width="25.59765625" style="55" customWidth="1"/>
    <col min="8196" max="8196" width="30.09765625" style="55" customWidth="1"/>
    <col min="8197" max="8197" width="16.8984375" style="55" customWidth="1"/>
    <col min="8198" max="8198" width="11.5" style="55" customWidth="1"/>
    <col min="8199" max="8199" width="10.5" style="55" bestFit="1" customWidth="1"/>
    <col min="8200" max="8200" width="17.59765625" style="55" customWidth="1"/>
    <col min="8201" max="8201" width="8.19921875" style="55" customWidth="1"/>
    <col min="8202" max="8202" width="0" style="55" hidden="1" customWidth="1"/>
    <col min="8203" max="8448" width="9" style="55"/>
    <col min="8449" max="8449" width="11.5" style="55" customWidth="1"/>
    <col min="8450" max="8450" width="19.09765625" style="55" customWidth="1"/>
    <col min="8451" max="8451" width="25.59765625" style="55" customWidth="1"/>
    <col min="8452" max="8452" width="30.09765625" style="55" customWidth="1"/>
    <col min="8453" max="8453" width="16.8984375" style="55" customWidth="1"/>
    <col min="8454" max="8454" width="11.5" style="55" customWidth="1"/>
    <col min="8455" max="8455" width="10.5" style="55" bestFit="1" customWidth="1"/>
    <col min="8456" max="8456" width="17.59765625" style="55" customWidth="1"/>
    <col min="8457" max="8457" width="8.19921875" style="55" customWidth="1"/>
    <col min="8458" max="8458" width="0" style="55" hidden="1" customWidth="1"/>
    <col min="8459" max="8704" width="9" style="55"/>
    <col min="8705" max="8705" width="11.5" style="55" customWidth="1"/>
    <col min="8706" max="8706" width="19.09765625" style="55" customWidth="1"/>
    <col min="8707" max="8707" width="25.59765625" style="55" customWidth="1"/>
    <col min="8708" max="8708" width="30.09765625" style="55" customWidth="1"/>
    <col min="8709" max="8709" width="16.8984375" style="55" customWidth="1"/>
    <col min="8710" max="8710" width="11.5" style="55" customWidth="1"/>
    <col min="8711" max="8711" width="10.5" style="55" bestFit="1" customWidth="1"/>
    <col min="8712" max="8712" width="17.59765625" style="55" customWidth="1"/>
    <col min="8713" max="8713" width="8.19921875" style="55" customWidth="1"/>
    <col min="8714" max="8714" width="0" style="55" hidden="1" customWidth="1"/>
    <col min="8715" max="8960" width="9" style="55"/>
    <col min="8961" max="8961" width="11.5" style="55" customWidth="1"/>
    <col min="8962" max="8962" width="19.09765625" style="55" customWidth="1"/>
    <col min="8963" max="8963" width="25.59765625" style="55" customWidth="1"/>
    <col min="8964" max="8964" width="30.09765625" style="55" customWidth="1"/>
    <col min="8965" max="8965" width="16.8984375" style="55" customWidth="1"/>
    <col min="8966" max="8966" width="11.5" style="55" customWidth="1"/>
    <col min="8967" max="8967" width="10.5" style="55" bestFit="1" customWidth="1"/>
    <col min="8968" max="8968" width="17.59765625" style="55" customWidth="1"/>
    <col min="8969" max="8969" width="8.19921875" style="55" customWidth="1"/>
    <col min="8970" max="8970" width="0" style="55" hidden="1" customWidth="1"/>
    <col min="8971" max="9216" width="9" style="55"/>
    <col min="9217" max="9217" width="11.5" style="55" customWidth="1"/>
    <col min="9218" max="9218" width="19.09765625" style="55" customWidth="1"/>
    <col min="9219" max="9219" width="25.59765625" style="55" customWidth="1"/>
    <col min="9220" max="9220" width="30.09765625" style="55" customWidth="1"/>
    <col min="9221" max="9221" width="16.8984375" style="55" customWidth="1"/>
    <col min="9222" max="9222" width="11.5" style="55" customWidth="1"/>
    <col min="9223" max="9223" width="10.5" style="55" bestFit="1" customWidth="1"/>
    <col min="9224" max="9224" width="17.59765625" style="55" customWidth="1"/>
    <col min="9225" max="9225" width="8.19921875" style="55" customWidth="1"/>
    <col min="9226" max="9226" width="0" style="55" hidden="1" customWidth="1"/>
    <col min="9227" max="9472" width="9" style="55"/>
    <col min="9473" max="9473" width="11.5" style="55" customWidth="1"/>
    <col min="9474" max="9474" width="19.09765625" style="55" customWidth="1"/>
    <col min="9475" max="9475" width="25.59765625" style="55" customWidth="1"/>
    <col min="9476" max="9476" width="30.09765625" style="55" customWidth="1"/>
    <col min="9477" max="9477" width="16.8984375" style="55" customWidth="1"/>
    <col min="9478" max="9478" width="11.5" style="55" customWidth="1"/>
    <col min="9479" max="9479" width="10.5" style="55" bestFit="1" customWidth="1"/>
    <col min="9480" max="9480" width="17.59765625" style="55" customWidth="1"/>
    <col min="9481" max="9481" width="8.19921875" style="55" customWidth="1"/>
    <col min="9482" max="9482" width="0" style="55" hidden="1" customWidth="1"/>
    <col min="9483" max="9728" width="9" style="55"/>
    <col min="9729" max="9729" width="11.5" style="55" customWidth="1"/>
    <col min="9730" max="9730" width="19.09765625" style="55" customWidth="1"/>
    <col min="9731" max="9731" width="25.59765625" style="55" customWidth="1"/>
    <col min="9732" max="9732" width="30.09765625" style="55" customWidth="1"/>
    <col min="9733" max="9733" width="16.8984375" style="55" customWidth="1"/>
    <col min="9734" max="9734" width="11.5" style="55" customWidth="1"/>
    <col min="9735" max="9735" width="10.5" style="55" bestFit="1" customWidth="1"/>
    <col min="9736" max="9736" width="17.59765625" style="55" customWidth="1"/>
    <col min="9737" max="9737" width="8.19921875" style="55" customWidth="1"/>
    <col min="9738" max="9738" width="0" style="55" hidden="1" customWidth="1"/>
    <col min="9739" max="9984" width="9" style="55"/>
    <col min="9985" max="9985" width="11.5" style="55" customWidth="1"/>
    <col min="9986" max="9986" width="19.09765625" style="55" customWidth="1"/>
    <col min="9987" max="9987" width="25.59765625" style="55" customWidth="1"/>
    <col min="9988" max="9988" width="30.09765625" style="55" customWidth="1"/>
    <col min="9989" max="9989" width="16.8984375" style="55" customWidth="1"/>
    <col min="9990" max="9990" width="11.5" style="55" customWidth="1"/>
    <col min="9991" max="9991" width="10.5" style="55" bestFit="1" customWidth="1"/>
    <col min="9992" max="9992" width="17.59765625" style="55" customWidth="1"/>
    <col min="9993" max="9993" width="8.19921875" style="55" customWidth="1"/>
    <col min="9994" max="9994" width="0" style="55" hidden="1" customWidth="1"/>
    <col min="9995" max="10240" width="9" style="55"/>
    <col min="10241" max="10241" width="11.5" style="55" customWidth="1"/>
    <col min="10242" max="10242" width="19.09765625" style="55" customWidth="1"/>
    <col min="10243" max="10243" width="25.59765625" style="55" customWidth="1"/>
    <col min="10244" max="10244" width="30.09765625" style="55" customWidth="1"/>
    <col min="10245" max="10245" width="16.8984375" style="55" customWidth="1"/>
    <col min="10246" max="10246" width="11.5" style="55" customWidth="1"/>
    <col min="10247" max="10247" width="10.5" style="55" bestFit="1" customWidth="1"/>
    <col min="10248" max="10248" width="17.59765625" style="55" customWidth="1"/>
    <col min="10249" max="10249" width="8.19921875" style="55" customWidth="1"/>
    <col min="10250" max="10250" width="0" style="55" hidden="1" customWidth="1"/>
    <col min="10251" max="10496" width="9" style="55"/>
    <col min="10497" max="10497" width="11.5" style="55" customWidth="1"/>
    <col min="10498" max="10498" width="19.09765625" style="55" customWidth="1"/>
    <col min="10499" max="10499" width="25.59765625" style="55" customWidth="1"/>
    <col min="10500" max="10500" width="30.09765625" style="55" customWidth="1"/>
    <col min="10501" max="10501" width="16.8984375" style="55" customWidth="1"/>
    <col min="10502" max="10502" width="11.5" style="55" customWidth="1"/>
    <col min="10503" max="10503" width="10.5" style="55" bestFit="1" customWidth="1"/>
    <col min="10504" max="10504" width="17.59765625" style="55" customWidth="1"/>
    <col min="10505" max="10505" width="8.19921875" style="55" customWidth="1"/>
    <col min="10506" max="10506" width="0" style="55" hidden="1" customWidth="1"/>
    <col min="10507" max="10752" width="9" style="55"/>
    <col min="10753" max="10753" width="11.5" style="55" customWidth="1"/>
    <col min="10754" max="10754" width="19.09765625" style="55" customWidth="1"/>
    <col min="10755" max="10755" width="25.59765625" style="55" customWidth="1"/>
    <col min="10756" max="10756" width="30.09765625" style="55" customWidth="1"/>
    <col min="10757" max="10757" width="16.8984375" style="55" customWidth="1"/>
    <col min="10758" max="10758" width="11.5" style="55" customWidth="1"/>
    <col min="10759" max="10759" width="10.5" style="55" bestFit="1" customWidth="1"/>
    <col min="10760" max="10760" width="17.59765625" style="55" customWidth="1"/>
    <col min="10761" max="10761" width="8.19921875" style="55" customWidth="1"/>
    <col min="10762" max="10762" width="0" style="55" hidden="1" customWidth="1"/>
    <col min="10763" max="11008" width="9" style="55"/>
    <col min="11009" max="11009" width="11.5" style="55" customWidth="1"/>
    <col min="11010" max="11010" width="19.09765625" style="55" customWidth="1"/>
    <col min="11011" max="11011" width="25.59765625" style="55" customWidth="1"/>
    <col min="11012" max="11012" width="30.09765625" style="55" customWidth="1"/>
    <col min="11013" max="11013" width="16.8984375" style="55" customWidth="1"/>
    <col min="11014" max="11014" width="11.5" style="55" customWidth="1"/>
    <col min="11015" max="11015" width="10.5" style="55" bestFit="1" customWidth="1"/>
    <col min="11016" max="11016" width="17.59765625" style="55" customWidth="1"/>
    <col min="11017" max="11017" width="8.19921875" style="55" customWidth="1"/>
    <col min="11018" max="11018" width="0" style="55" hidden="1" customWidth="1"/>
    <col min="11019" max="11264" width="9" style="55"/>
    <col min="11265" max="11265" width="11.5" style="55" customWidth="1"/>
    <col min="11266" max="11266" width="19.09765625" style="55" customWidth="1"/>
    <col min="11267" max="11267" width="25.59765625" style="55" customWidth="1"/>
    <col min="11268" max="11268" width="30.09765625" style="55" customWidth="1"/>
    <col min="11269" max="11269" width="16.8984375" style="55" customWidth="1"/>
    <col min="11270" max="11270" width="11.5" style="55" customWidth="1"/>
    <col min="11271" max="11271" width="10.5" style="55" bestFit="1" customWidth="1"/>
    <col min="11272" max="11272" width="17.59765625" style="55" customWidth="1"/>
    <col min="11273" max="11273" width="8.19921875" style="55" customWidth="1"/>
    <col min="11274" max="11274" width="0" style="55" hidden="1" customWidth="1"/>
    <col min="11275" max="11520" width="9" style="55"/>
    <col min="11521" max="11521" width="11.5" style="55" customWidth="1"/>
    <col min="11522" max="11522" width="19.09765625" style="55" customWidth="1"/>
    <col min="11523" max="11523" width="25.59765625" style="55" customWidth="1"/>
    <col min="11524" max="11524" width="30.09765625" style="55" customWidth="1"/>
    <col min="11525" max="11525" width="16.8984375" style="55" customWidth="1"/>
    <col min="11526" max="11526" width="11.5" style="55" customWidth="1"/>
    <col min="11527" max="11527" width="10.5" style="55" bestFit="1" customWidth="1"/>
    <col min="11528" max="11528" width="17.59765625" style="55" customWidth="1"/>
    <col min="11529" max="11529" width="8.19921875" style="55" customWidth="1"/>
    <col min="11530" max="11530" width="0" style="55" hidden="1" customWidth="1"/>
    <col min="11531" max="11776" width="9" style="55"/>
    <col min="11777" max="11777" width="11.5" style="55" customWidth="1"/>
    <col min="11778" max="11778" width="19.09765625" style="55" customWidth="1"/>
    <col min="11779" max="11779" width="25.59765625" style="55" customWidth="1"/>
    <col min="11780" max="11780" width="30.09765625" style="55" customWidth="1"/>
    <col min="11781" max="11781" width="16.8984375" style="55" customWidth="1"/>
    <col min="11782" max="11782" width="11.5" style="55" customWidth="1"/>
    <col min="11783" max="11783" width="10.5" style="55" bestFit="1" customWidth="1"/>
    <col min="11784" max="11784" width="17.59765625" style="55" customWidth="1"/>
    <col min="11785" max="11785" width="8.19921875" style="55" customWidth="1"/>
    <col min="11786" max="11786" width="0" style="55" hidden="1" customWidth="1"/>
    <col min="11787" max="12032" width="9" style="55"/>
    <col min="12033" max="12033" width="11.5" style="55" customWidth="1"/>
    <col min="12034" max="12034" width="19.09765625" style="55" customWidth="1"/>
    <col min="12035" max="12035" width="25.59765625" style="55" customWidth="1"/>
    <col min="12036" max="12036" width="30.09765625" style="55" customWidth="1"/>
    <col min="12037" max="12037" width="16.8984375" style="55" customWidth="1"/>
    <col min="12038" max="12038" width="11.5" style="55" customWidth="1"/>
    <col min="12039" max="12039" width="10.5" style="55" bestFit="1" customWidth="1"/>
    <col min="12040" max="12040" width="17.59765625" style="55" customWidth="1"/>
    <col min="12041" max="12041" width="8.19921875" style="55" customWidth="1"/>
    <col min="12042" max="12042" width="0" style="55" hidden="1" customWidth="1"/>
    <col min="12043" max="12288" width="9" style="55"/>
    <col min="12289" max="12289" width="11.5" style="55" customWidth="1"/>
    <col min="12290" max="12290" width="19.09765625" style="55" customWidth="1"/>
    <col min="12291" max="12291" width="25.59765625" style="55" customWidth="1"/>
    <col min="12292" max="12292" width="30.09765625" style="55" customWidth="1"/>
    <col min="12293" max="12293" width="16.8984375" style="55" customWidth="1"/>
    <col min="12294" max="12294" width="11.5" style="55" customWidth="1"/>
    <col min="12295" max="12295" width="10.5" style="55" bestFit="1" customWidth="1"/>
    <col min="12296" max="12296" width="17.59765625" style="55" customWidth="1"/>
    <col min="12297" max="12297" width="8.19921875" style="55" customWidth="1"/>
    <col min="12298" max="12298" width="0" style="55" hidden="1" customWidth="1"/>
    <col min="12299" max="12544" width="9" style="55"/>
    <col min="12545" max="12545" width="11.5" style="55" customWidth="1"/>
    <col min="12546" max="12546" width="19.09765625" style="55" customWidth="1"/>
    <col min="12547" max="12547" width="25.59765625" style="55" customWidth="1"/>
    <col min="12548" max="12548" width="30.09765625" style="55" customWidth="1"/>
    <col min="12549" max="12549" width="16.8984375" style="55" customWidth="1"/>
    <col min="12550" max="12550" width="11.5" style="55" customWidth="1"/>
    <col min="12551" max="12551" width="10.5" style="55" bestFit="1" customWidth="1"/>
    <col min="12552" max="12552" width="17.59765625" style="55" customWidth="1"/>
    <col min="12553" max="12553" width="8.19921875" style="55" customWidth="1"/>
    <col min="12554" max="12554" width="0" style="55" hidden="1" customWidth="1"/>
    <col min="12555" max="12800" width="9" style="55"/>
    <col min="12801" max="12801" width="11.5" style="55" customWidth="1"/>
    <col min="12802" max="12802" width="19.09765625" style="55" customWidth="1"/>
    <col min="12803" max="12803" width="25.59765625" style="55" customWidth="1"/>
    <col min="12804" max="12804" width="30.09765625" style="55" customWidth="1"/>
    <col min="12805" max="12805" width="16.8984375" style="55" customWidth="1"/>
    <col min="12806" max="12806" width="11.5" style="55" customWidth="1"/>
    <col min="12807" max="12807" width="10.5" style="55" bestFit="1" customWidth="1"/>
    <col min="12808" max="12808" width="17.59765625" style="55" customWidth="1"/>
    <col min="12809" max="12809" width="8.19921875" style="55" customWidth="1"/>
    <col min="12810" max="12810" width="0" style="55" hidden="1" customWidth="1"/>
    <col min="12811" max="13056" width="9" style="55"/>
    <col min="13057" max="13057" width="11.5" style="55" customWidth="1"/>
    <col min="13058" max="13058" width="19.09765625" style="55" customWidth="1"/>
    <col min="13059" max="13059" width="25.59765625" style="55" customWidth="1"/>
    <col min="13060" max="13060" width="30.09765625" style="55" customWidth="1"/>
    <col min="13061" max="13061" width="16.8984375" style="55" customWidth="1"/>
    <col min="13062" max="13062" width="11.5" style="55" customWidth="1"/>
    <col min="13063" max="13063" width="10.5" style="55" bestFit="1" customWidth="1"/>
    <col min="13064" max="13064" width="17.59765625" style="55" customWidth="1"/>
    <col min="13065" max="13065" width="8.19921875" style="55" customWidth="1"/>
    <col min="13066" max="13066" width="0" style="55" hidden="1" customWidth="1"/>
    <col min="13067" max="13312" width="9" style="55"/>
    <col min="13313" max="13313" width="11.5" style="55" customWidth="1"/>
    <col min="13314" max="13314" width="19.09765625" style="55" customWidth="1"/>
    <col min="13315" max="13315" width="25.59765625" style="55" customWidth="1"/>
    <col min="13316" max="13316" width="30.09765625" style="55" customWidth="1"/>
    <col min="13317" max="13317" width="16.8984375" style="55" customWidth="1"/>
    <col min="13318" max="13318" width="11.5" style="55" customWidth="1"/>
    <col min="13319" max="13319" width="10.5" style="55" bestFit="1" customWidth="1"/>
    <col min="13320" max="13320" width="17.59765625" style="55" customWidth="1"/>
    <col min="13321" max="13321" width="8.19921875" style="55" customWidth="1"/>
    <col min="13322" max="13322" width="0" style="55" hidden="1" customWidth="1"/>
    <col min="13323" max="13568" width="9" style="55"/>
    <col min="13569" max="13569" width="11.5" style="55" customWidth="1"/>
    <col min="13570" max="13570" width="19.09765625" style="55" customWidth="1"/>
    <col min="13571" max="13571" width="25.59765625" style="55" customWidth="1"/>
    <col min="13572" max="13572" width="30.09765625" style="55" customWidth="1"/>
    <col min="13573" max="13573" width="16.8984375" style="55" customWidth="1"/>
    <col min="13574" max="13574" width="11.5" style="55" customWidth="1"/>
    <col min="13575" max="13575" width="10.5" style="55" bestFit="1" customWidth="1"/>
    <col min="13576" max="13576" width="17.59765625" style="55" customWidth="1"/>
    <col min="13577" max="13577" width="8.19921875" style="55" customWidth="1"/>
    <col min="13578" max="13578" width="0" style="55" hidden="1" customWidth="1"/>
    <col min="13579" max="13824" width="9" style="55"/>
    <col min="13825" max="13825" width="11.5" style="55" customWidth="1"/>
    <col min="13826" max="13826" width="19.09765625" style="55" customWidth="1"/>
    <col min="13827" max="13827" width="25.59765625" style="55" customWidth="1"/>
    <col min="13828" max="13828" width="30.09765625" style="55" customWidth="1"/>
    <col min="13829" max="13829" width="16.8984375" style="55" customWidth="1"/>
    <col min="13830" max="13830" width="11.5" style="55" customWidth="1"/>
    <col min="13831" max="13831" width="10.5" style="55" bestFit="1" customWidth="1"/>
    <col min="13832" max="13832" width="17.59765625" style="55" customWidth="1"/>
    <col min="13833" max="13833" width="8.19921875" style="55" customWidth="1"/>
    <col min="13834" max="13834" width="0" style="55" hidden="1" customWidth="1"/>
    <col min="13835" max="14080" width="9" style="55"/>
    <col min="14081" max="14081" width="11.5" style="55" customWidth="1"/>
    <col min="14082" max="14082" width="19.09765625" style="55" customWidth="1"/>
    <col min="14083" max="14083" width="25.59765625" style="55" customWidth="1"/>
    <col min="14084" max="14084" width="30.09765625" style="55" customWidth="1"/>
    <col min="14085" max="14085" width="16.8984375" style="55" customWidth="1"/>
    <col min="14086" max="14086" width="11.5" style="55" customWidth="1"/>
    <col min="14087" max="14087" width="10.5" style="55" bestFit="1" customWidth="1"/>
    <col min="14088" max="14088" width="17.59765625" style="55" customWidth="1"/>
    <col min="14089" max="14089" width="8.19921875" style="55" customWidth="1"/>
    <col min="14090" max="14090" width="0" style="55" hidden="1" customWidth="1"/>
    <col min="14091" max="14336" width="9" style="55"/>
    <col min="14337" max="14337" width="11.5" style="55" customWidth="1"/>
    <col min="14338" max="14338" width="19.09765625" style="55" customWidth="1"/>
    <col min="14339" max="14339" width="25.59765625" style="55" customWidth="1"/>
    <col min="14340" max="14340" width="30.09765625" style="55" customWidth="1"/>
    <col min="14341" max="14341" width="16.8984375" style="55" customWidth="1"/>
    <col min="14342" max="14342" width="11.5" style="55" customWidth="1"/>
    <col min="14343" max="14343" width="10.5" style="55" bestFit="1" customWidth="1"/>
    <col min="14344" max="14344" width="17.59765625" style="55" customWidth="1"/>
    <col min="14345" max="14345" width="8.19921875" style="55" customWidth="1"/>
    <col min="14346" max="14346" width="0" style="55" hidden="1" customWidth="1"/>
    <col min="14347" max="14592" width="9" style="55"/>
    <col min="14593" max="14593" width="11.5" style="55" customWidth="1"/>
    <col min="14594" max="14594" width="19.09765625" style="55" customWidth="1"/>
    <col min="14595" max="14595" width="25.59765625" style="55" customWidth="1"/>
    <col min="14596" max="14596" width="30.09765625" style="55" customWidth="1"/>
    <col min="14597" max="14597" width="16.8984375" style="55" customWidth="1"/>
    <col min="14598" max="14598" width="11.5" style="55" customWidth="1"/>
    <col min="14599" max="14599" width="10.5" style="55" bestFit="1" customWidth="1"/>
    <col min="14600" max="14600" width="17.59765625" style="55" customWidth="1"/>
    <col min="14601" max="14601" width="8.19921875" style="55" customWidth="1"/>
    <col min="14602" max="14602" width="0" style="55" hidden="1" customWidth="1"/>
    <col min="14603" max="14848" width="9" style="55"/>
    <col min="14849" max="14849" width="11.5" style="55" customWidth="1"/>
    <col min="14850" max="14850" width="19.09765625" style="55" customWidth="1"/>
    <col min="14851" max="14851" width="25.59765625" style="55" customWidth="1"/>
    <col min="14852" max="14852" width="30.09765625" style="55" customWidth="1"/>
    <col min="14853" max="14853" width="16.8984375" style="55" customWidth="1"/>
    <col min="14854" max="14854" width="11.5" style="55" customWidth="1"/>
    <col min="14855" max="14855" width="10.5" style="55" bestFit="1" customWidth="1"/>
    <col min="14856" max="14856" width="17.59765625" style="55" customWidth="1"/>
    <col min="14857" max="14857" width="8.19921875" style="55" customWidth="1"/>
    <col min="14858" max="14858" width="0" style="55" hidden="1" customWidth="1"/>
    <col min="14859" max="15104" width="9" style="55"/>
    <col min="15105" max="15105" width="11.5" style="55" customWidth="1"/>
    <col min="15106" max="15106" width="19.09765625" style="55" customWidth="1"/>
    <col min="15107" max="15107" width="25.59765625" style="55" customWidth="1"/>
    <col min="15108" max="15108" width="30.09765625" style="55" customWidth="1"/>
    <col min="15109" max="15109" width="16.8984375" style="55" customWidth="1"/>
    <col min="15110" max="15110" width="11.5" style="55" customWidth="1"/>
    <col min="15111" max="15111" width="10.5" style="55" bestFit="1" customWidth="1"/>
    <col min="15112" max="15112" width="17.59765625" style="55" customWidth="1"/>
    <col min="15113" max="15113" width="8.19921875" style="55" customWidth="1"/>
    <col min="15114" max="15114" width="0" style="55" hidden="1" customWidth="1"/>
    <col min="15115" max="15360" width="9" style="55"/>
    <col min="15361" max="15361" width="11.5" style="55" customWidth="1"/>
    <col min="15362" max="15362" width="19.09765625" style="55" customWidth="1"/>
    <col min="15363" max="15363" width="25.59765625" style="55" customWidth="1"/>
    <col min="15364" max="15364" width="30.09765625" style="55" customWidth="1"/>
    <col min="15365" max="15365" width="16.8984375" style="55" customWidth="1"/>
    <col min="15366" max="15366" width="11.5" style="55" customWidth="1"/>
    <col min="15367" max="15367" width="10.5" style="55" bestFit="1" customWidth="1"/>
    <col min="15368" max="15368" width="17.59765625" style="55" customWidth="1"/>
    <col min="15369" max="15369" width="8.19921875" style="55" customWidth="1"/>
    <col min="15370" max="15370" width="0" style="55" hidden="1" customWidth="1"/>
    <col min="15371" max="15616" width="9" style="55"/>
    <col min="15617" max="15617" width="11.5" style="55" customWidth="1"/>
    <col min="15618" max="15618" width="19.09765625" style="55" customWidth="1"/>
    <col min="15619" max="15619" width="25.59765625" style="55" customWidth="1"/>
    <col min="15620" max="15620" width="30.09765625" style="55" customWidth="1"/>
    <col min="15621" max="15621" width="16.8984375" style="55" customWidth="1"/>
    <col min="15622" max="15622" width="11.5" style="55" customWidth="1"/>
    <col min="15623" max="15623" width="10.5" style="55" bestFit="1" customWidth="1"/>
    <col min="15624" max="15624" width="17.59765625" style="55" customWidth="1"/>
    <col min="15625" max="15625" width="8.19921875" style="55" customWidth="1"/>
    <col min="15626" max="15626" width="0" style="55" hidden="1" customWidth="1"/>
    <col min="15627" max="15872" width="9" style="55"/>
    <col min="15873" max="15873" width="11.5" style="55" customWidth="1"/>
    <col min="15874" max="15874" width="19.09765625" style="55" customWidth="1"/>
    <col min="15875" max="15875" width="25.59765625" style="55" customWidth="1"/>
    <col min="15876" max="15876" width="30.09765625" style="55" customWidth="1"/>
    <col min="15877" max="15877" width="16.8984375" style="55" customWidth="1"/>
    <col min="15878" max="15878" width="11.5" style="55" customWidth="1"/>
    <col min="15879" max="15879" width="10.5" style="55" bestFit="1" customWidth="1"/>
    <col min="15880" max="15880" width="17.59765625" style="55" customWidth="1"/>
    <col min="15881" max="15881" width="8.19921875" style="55" customWidth="1"/>
    <col min="15882" max="15882" width="0" style="55" hidden="1" customWidth="1"/>
    <col min="15883" max="16128" width="9" style="55"/>
    <col min="16129" max="16129" width="11.5" style="55" customWidth="1"/>
    <col min="16130" max="16130" width="19.09765625" style="55" customWidth="1"/>
    <col min="16131" max="16131" width="25.59765625" style="55" customWidth="1"/>
    <col min="16132" max="16132" width="30.09765625" style="55" customWidth="1"/>
    <col min="16133" max="16133" width="16.8984375" style="55" customWidth="1"/>
    <col min="16134" max="16134" width="11.5" style="55" customWidth="1"/>
    <col min="16135" max="16135" width="10.5" style="55" bestFit="1" customWidth="1"/>
    <col min="16136" max="16136" width="17.59765625" style="55" customWidth="1"/>
    <col min="16137" max="16137" width="8.19921875" style="55" customWidth="1"/>
    <col min="16138" max="16138" width="0" style="55" hidden="1" customWidth="1"/>
    <col min="16139" max="16384" width="9" style="55"/>
  </cols>
  <sheetData>
    <row r="1" spans="1:11" s="100" customFormat="1" ht="13.8" thickBot="1">
      <c r="A1" s="94"/>
      <c r="B1" s="95"/>
      <c r="C1" s="95"/>
      <c r="D1" s="95"/>
      <c r="E1" s="95"/>
      <c r="F1" s="96"/>
      <c r="G1" s="97"/>
      <c r="H1" s="98"/>
      <c r="I1" s="99"/>
    </row>
    <row r="2" spans="1:11" s="100" customFormat="1" ht="26.4">
      <c r="A2" s="101" t="s">
        <v>17</v>
      </c>
      <c r="B2" s="102" t="s">
        <v>15</v>
      </c>
      <c r="C2" s="102"/>
      <c r="D2" s="102"/>
      <c r="E2" s="102"/>
      <c r="F2" s="102"/>
      <c r="G2" s="98"/>
      <c r="H2" s="98"/>
      <c r="I2" s="99"/>
      <c r="J2" s="100" t="s">
        <v>22</v>
      </c>
    </row>
    <row r="3" spans="1:11" s="100" customFormat="1" ht="26.4">
      <c r="A3" s="103" t="s">
        <v>19</v>
      </c>
      <c r="B3" s="102" t="s">
        <v>85</v>
      </c>
      <c r="C3" s="102"/>
      <c r="D3" s="102"/>
      <c r="E3" s="102"/>
      <c r="F3" s="102"/>
      <c r="G3" s="98"/>
      <c r="H3" s="98"/>
      <c r="I3" s="99"/>
      <c r="J3" s="100" t="s">
        <v>23</v>
      </c>
    </row>
    <row r="4" spans="1:11" s="100" customFormat="1">
      <c r="A4" s="101" t="s">
        <v>21</v>
      </c>
      <c r="B4" s="104" t="s">
        <v>83</v>
      </c>
      <c r="C4" s="104"/>
      <c r="D4" s="104"/>
      <c r="E4" s="104"/>
      <c r="F4" s="104"/>
      <c r="G4" s="98"/>
      <c r="H4" s="98"/>
      <c r="I4" s="99"/>
      <c r="J4" s="105"/>
    </row>
    <row r="5" spans="1:11" s="100" customFormat="1">
      <c r="A5" s="106" t="s">
        <v>22</v>
      </c>
      <c r="B5" s="107" t="s">
        <v>23</v>
      </c>
      <c r="C5" s="107" t="s">
        <v>24</v>
      </c>
      <c r="D5" s="108" t="s">
        <v>25</v>
      </c>
      <c r="E5" s="109" t="s">
        <v>26</v>
      </c>
      <c r="F5" s="109"/>
      <c r="G5" s="110"/>
      <c r="H5" s="110"/>
      <c r="I5" s="111"/>
      <c r="J5" s="100" t="s">
        <v>24</v>
      </c>
    </row>
    <row r="6" spans="1:11" s="100" customFormat="1" ht="13.8" thickBot="1">
      <c r="A6" s="112">
        <f>COUNTIF(F10:F998,"Pass")</f>
        <v>1</v>
      </c>
      <c r="B6" s="113">
        <f>COUNTIF(F10:F998,"Fail")</f>
        <v>0</v>
      </c>
      <c r="C6" s="113">
        <f>E6-D6-B6-A6</f>
        <v>7</v>
      </c>
      <c r="D6" s="114">
        <f>COUNTIF(F$10:F$998,"N/A")</f>
        <v>0</v>
      </c>
      <c r="E6" s="115">
        <f>COUNTA(A10:A998)</f>
        <v>8</v>
      </c>
      <c r="F6" s="115"/>
      <c r="G6" s="110"/>
      <c r="H6" s="110"/>
      <c r="I6" s="111"/>
      <c r="J6" s="100" t="s">
        <v>25</v>
      </c>
    </row>
    <row r="7" spans="1:11" s="100" customFormat="1">
      <c r="D7" s="90"/>
      <c r="E7" s="90"/>
      <c r="F7" s="90"/>
      <c r="G7" s="90"/>
      <c r="H7" s="90"/>
      <c r="I7" s="111"/>
    </row>
    <row r="8" spans="1:11" s="100" customFormat="1" ht="26.4">
      <c r="A8" s="116" t="s">
        <v>27</v>
      </c>
      <c r="B8" s="116" t="s">
        <v>28</v>
      </c>
      <c r="C8" s="116" t="s">
        <v>29</v>
      </c>
      <c r="D8" s="116" t="s">
        <v>30</v>
      </c>
      <c r="E8" s="117" t="s">
        <v>86</v>
      </c>
      <c r="F8" s="117" t="s">
        <v>32</v>
      </c>
      <c r="G8" s="117" t="s">
        <v>87</v>
      </c>
      <c r="H8" s="116" t="s">
        <v>88</v>
      </c>
      <c r="I8" s="118"/>
    </row>
    <row r="9" spans="1:11" s="100" customFormat="1">
      <c r="A9" s="119"/>
      <c r="B9" s="119" t="s">
        <v>14</v>
      </c>
      <c r="C9" s="120"/>
      <c r="D9" s="120"/>
      <c r="E9" s="120"/>
      <c r="F9" s="120"/>
      <c r="G9" s="120"/>
      <c r="H9" s="121"/>
      <c r="I9" s="122"/>
    </row>
    <row r="10" spans="1:11" s="129" customFormat="1" ht="79.2">
      <c r="A10" s="123" t="s">
        <v>89</v>
      </c>
      <c r="B10" s="124" t="s">
        <v>126</v>
      </c>
      <c r="C10" s="124" t="s">
        <v>137</v>
      </c>
      <c r="D10" s="125" t="s">
        <v>134</v>
      </c>
      <c r="E10" s="125" t="s">
        <v>90</v>
      </c>
      <c r="F10" s="123" t="s">
        <v>24</v>
      </c>
      <c r="G10" s="126" t="s">
        <v>91</v>
      </c>
      <c r="H10" s="127" t="s">
        <v>133</v>
      </c>
      <c r="I10" s="128"/>
    </row>
    <row r="11" spans="1:11" ht="92.4">
      <c r="A11" s="123" t="s">
        <v>92</v>
      </c>
      <c r="B11" s="123" t="s">
        <v>127</v>
      </c>
      <c r="C11" s="123" t="s">
        <v>136</v>
      </c>
      <c r="D11" s="130" t="s">
        <v>135</v>
      </c>
      <c r="E11" s="130" t="s">
        <v>140</v>
      </c>
      <c r="F11" s="123" t="s">
        <v>24</v>
      </c>
      <c r="G11" s="123" t="s">
        <v>91</v>
      </c>
      <c r="H11" s="127" t="s">
        <v>93</v>
      </c>
      <c r="I11" s="128"/>
    </row>
    <row r="12" spans="1:11" ht="66">
      <c r="A12" s="123" t="s">
        <v>94</v>
      </c>
      <c r="B12" s="123" t="s">
        <v>128</v>
      </c>
      <c r="C12" s="123" t="s">
        <v>139</v>
      </c>
      <c r="D12" s="130" t="s">
        <v>138</v>
      </c>
      <c r="E12" s="130" t="s">
        <v>96</v>
      </c>
      <c r="F12" s="123" t="s">
        <v>24</v>
      </c>
      <c r="G12" s="123" t="s">
        <v>91</v>
      </c>
      <c r="H12" s="127" t="s">
        <v>147</v>
      </c>
      <c r="I12" s="128"/>
    </row>
    <row r="13" spans="1:11" s="100" customFormat="1" ht="92.4">
      <c r="A13" s="123" t="s">
        <v>98</v>
      </c>
      <c r="B13" s="123" t="s">
        <v>95</v>
      </c>
      <c r="C13" s="123" t="s">
        <v>146</v>
      </c>
      <c r="D13" s="130" t="s">
        <v>145</v>
      </c>
      <c r="E13" s="130" t="s">
        <v>142</v>
      </c>
      <c r="F13" s="123" t="s">
        <v>24</v>
      </c>
      <c r="G13" s="123" t="s">
        <v>91</v>
      </c>
      <c r="H13" s="127" t="s">
        <v>97</v>
      </c>
      <c r="I13" s="122"/>
    </row>
    <row r="14" spans="1:11" ht="66">
      <c r="A14" s="123" t="s">
        <v>99</v>
      </c>
      <c r="B14" s="123" t="s">
        <v>129</v>
      </c>
      <c r="C14" s="123" t="s">
        <v>143</v>
      </c>
      <c r="D14" s="130" t="s">
        <v>144</v>
      </c>
      <c r="E14" s="130" t="s">
        <v>96</v>
      </c>
      <c r="F14" s="123" t="s">
        <v>24</v>
      </c>
      <c r="G14" s="123" t="s">
        <v>91</v>
      </c>
      <c r="H14" s="127" t="s">
        <v>141</v>
      </c>
      <c r="I14" s="128"/>
    </row>
    <row r="15" spans="1:11">
      <c r="A15" s="119"/>
      <c r="B15" s="119" t="s">
        <v>16</v>
      </c>
      <c r="C15" s="120"/>
      <c r="D15" s="120"/>
      <c r="E15" s="120"/>
      <c r="F15" s="120"/>
      <c r="G15" s="120"/>
      <c r="H15" s="121"/>
    </row>
    <row r="16" spans="1:11" ht="66">
      <c r="A16" s="123" t="s">
        <v>102</v>
      </c>
      <c r="B16" s="123" t="s">
        <v>130</v>
      </c>
      <c r="C16" s="123" t="s">
        <v>149</v>
      </c>
      <c r="D16" s="130" t="s">
        <v>150</v>
      </c>
      <c r="E16" s="130" t="s">
        <v>96</v>
      </c>
      <c r="F16" s="123" t="s">
        <v>24</v>
      </c>
      <c r="G16" s="123" t="s">
        <v>91</v>
      </c>
      <c r="H16" s="127" t="s">
        <v>148</v>
      </c>
      <c r="I16" s="122"/>
      <c r="J16" s="100"/>
      <c r="K16" s="100"/>
    </row>
    <row r="17" spans="1:9" ht="92.4">
      <c r="A17" s="123" t="s">
        <v>109</v>
      </c>
      <c r="B17" s="123" t="s">
        <v>131</v>
      </c>
      <c r="C17" s="123" t="s">
        <v>152</v>
      </c>
      <c r="D17" s="123" t="s">
        <v>100</v>
      </c>
      <c r="E17" s="123" t="s">
        <v>96</v>
      </c>
      <c r="F17" s="131" t="s">
        <v>24</v>
      </c>
      <c r="G17" s="131" t="s">
        <v>91</v>
      </c>
      <c r="H17" s="132" t="s">
        <v>101</v>
      </c>
      <c r="I17" s="128"/>
    </row>
    <row r="18" spans="1:9" ht="66">
      <c r="A18" s="139" t="s">
        <v>110</v>
      </c>
      <c r="B18" s="139" t="s">
        <v>132</v>
      </c>
      <c r="C18" s="123" t="s">
        <v>154</v>
      </c>
      <c r="D18" s="139" t="s">
        <v>151</v>
      </c>
      <c r="E18" s="139" t="s">
        <v>96</v>
      </c>
      <c r="F18" s="140" t="s">
        <v>22</v>
      </c>
      <c r="G18" s="140" t="s">
        <v>91</v>
      </c>
      <c r="H18" s="141" t="s">
        <v>153</v>
      </c>
    </row>
    <row r="19" spans="1:9">
      <c r="A19" s="136"/>
      <c r="B19" s="136"/>
      <c r="C19" s="136"/>
      <c r="D19" s="136"/>
      <c r="E19" s="136"/>
      <c r="F19" s="137"/>
      <c r="G19" s="137"/>
      <c r="H19" s="13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JB1:JB3 SX1:SX3 ACT1:ACT3 AMP1:AMP3 AWL1:AWL3 BGH1:BGH3 BQD1:BQD3 BZZ1:BZZ3 CJV1:CJV3 CTR1:CTR3 DDN1:DDN3 DNJ1:DNJ3 DXF1:DXF3 EHB1:EHB3 EQX1:EQX3 FAT1:FAT3 FKP1:FKP3 FUL1:FUL3 GEH1:GEH3 GOD1:GOD3 GXZ1:GXZ3 HHV1:HHV3 HRR1:HRR3 IBN1:IBN3 ILJ1:ILJ3 IVF1:IVF3 JFB1:JFB3 JOX1:JOX3 JYT1:JYT3 KIP1:KIP3 KSL1:KSL3 LCH1:LCH3 LMD1:LMD3 LVZ1:LVZ3 MFV1:MFV3 MPR1:MPR3 MZN1:MZN3 NJJ1:NJJ3 NTF1:NTF3 ODB1:ODB3 OMX1:OMX3 OWT1:OWT3 PGP1:PGP3 PQL1:PQL3 QAH1:QAH3 QKD1:QKD3 QTZ1:QTZ3 RDV1:RDV3 RNR1:RNR3 RXN1:RXN3 SHJ1:SHJ3 SRF1:SRF3 TBB1:TBB3 TKX1:TKX3 TUT1:TUT3 UEP1:UEP3 UOL1:UOL3 UYH1:UYH3 VID1:VID3 VRZ1:VRZ3 WBV1:WBV3 WLR1:WLR3 WVN1:WVN3 F65537:F65539 JB65537:JB65539 SX65537:SX65539 ACT65537:ACT65539 AMP65537:AMP65539 AWL65537:AWL65539 BGH65537:BGH65539 BQD65537:BQD65539 BZZ65537:BZZ65539 CJV65537:CJV65539 CTR65537:CTR65539 DDN65537:DDN65539 DNJ65537:DNJ65539 DXF65537:DXF65539 EHB65537:EHB65539 EQX65537:EQX65539 FAT65537:FAT65539 FKP65537:FKP65539 FUL65537:FUL65539 GEH65537:GEH65539 GOD65537:GOD65539 GXZ65537:GXZ65539 HHV65537:HHV65539 HRR65537:HRR65539 IBN65537:IBN65539 ILJ65537:ILJ65539 IVF65537:IVF65539 JFB65537:JFB65539 JOX65537:JOX65539 JYT65537:JYT65539 KIP65537:KIP65539 KSL65537:KSL65539 LCH65537:LCH65539 LMD65537:LMD65539 LVZ65537:LVZ65539 MFV65537:MFV65539 MPR65537:MPR65539 MZN65537:MZN65539 NJJ65537:NJJ65539 NTF65537:NTF65539 ODB65537:ODB65539 OMX65537:OMX65539 OWT65537:OWT65539 PGP65537:PGP65539 PQL65537:PQL65539 QAH65537:QAH65539 QKD65537:QKD65539 QTZ65537:QTZ65539 RDV65537:RDV65539 RNR65537:RNR65539 RXN65537:RXN65539 SHJ65537:SHJ65539 SRF65537:SRF65539 TBB65537:TBB65539 TKX65537:TKX65539 TUT65537:TUT65539 UEP65537:UEP65539 UOL65537:UOL65539 UYH65537:UYH65539 VID65537:VID65539 VRZ65537:VRZ65539 WBV65537:WBV65539 WLR65537:WLR65539 WVN65537:WVN65539 F131073:F131075 JB131073:JB131075 SX131073:SX131075 ACT131073:ACT131075 AMP131073:AMP131075 AWL131073:AWL131075 BGH131073:BGH131075 BQD131073:BQD131075 BZZ131073:BZZ131075 CJV131073:CJV131075 CTR131073:CTR131075 DDN131073:DDN131075 DNJ131073:DNJ131075 DXF131073:DXF131075 EHB131073:EHB131075 EQX131073:EQX131075 FAT131073:FAT131075 FKP131073:FKP131075 FUL131073:FUL131075 GEH131073:GEH131075 GOD131073:GOD131075 GXZ131073:GXZ131075 HHV131073:HHV131075 HRR131073:HRR131075 IBN131073:IBN131075 ILJ131073:ILJ131075 IVF131073:IVF131075 JFB131073:JFB131075 JOX131073:JOX131075 JYT131073:JYT131075 KIP131073:KIP131075 KSL131073:KSL131075 LCH131073:LCH131075 LMD131073:LMD131075 LVZ131073:LVZ131075 MFV131073:MFV131075 MPR131073:MPR131075 MZN131073:MZN131075 NJJ131073:NJJ131075 NTF131073:NTF131075 ODB131073:ODB131075 OMX131073:OMX131075 OWT131073:OWT131075 PGP131073:PGP131075 PQL131073:PQL131075 QAH131073:QAH131075 QKD131073:QKD131075 QTZ131073:QTZ131075 RDV131073:RDV131075 RNR131073:RNR131075 RXN131073:RXN131075 SHJ131073:SHJ131075 SRF131073:SRF131075 TBB131073:TBB131075 TKX131073:TKX131075 TUT131073:TUT131075 UEP131073:UEP131075 UOL131073:UOL131075 UYH131073:UYH131075 VID131073:VID131075 VRZ131073:VRZ131075 WBV131073:WBV131075 WLR131073:WLR131075 WVN131073:WVN131075 F196609:F196611 JB196609:JB196611 SX196609:SX196611 ACT196609:ACT196611 AMP196609:AMP196611 AWL196609:AWL196611 BGH196609:BGH196611 BQD196609:BQD196611 BZZ196609:BZZ196611 CJV196609:CJV196611 CTR196609:CTR196611 DDN196609:DDN196611 DNJ196609:DNJ196611 DXF196609:DXF196611 EHB196609:EHB196611 EQX196609:EQX196611 FAT196609:FAT196611 FKP196609:FKP196611 FUL196609:FUL196611 GEH196609:GEH196611 GOD196609:GOD196611 GXZ196609:GXZ196611 HHV196609:HHV196611 HRR196609:HRR196611 IBN196609:IBN196611 ILJ196609:ILJ196611 IVF196609:IVF196611 JFB196609:JFB196611 JOX196609:JOX196611 JYT196609:JYT196611 KIP196609:KIP196611 KSL196609:KSL196611 LCH196609:LCH196611 LMD196609:LMD196611 LVZ196609:LVZ196611 MFV196609:MFV196611 MPR196609:MPR196611 MZN196609:MZN196611 NJJ196609:NJJ196611 NTF196609:NTF196611 ODB196609:ODB196611 OMX196609:OMX196611 OWT196609:OWT196611 PGP196609:PGP196611 PQL196609:PQL196611 QAH196609:QAH196611 QKD196609:QKD196611 QTZ196609:QTZ196611 RDV196609:RDV196611 RNR196609:RNR196611 RXN196609:RXN196611 SHJ196609:SHJ196611 SRF196609:SRF196611 TBB196609:TBB196611 TKX196609:TKX196611 TUT196609:TUT196611 UEP196609:UEP196611 UOL196609:UOL196611 UYH196609:UYH196611 VID196609:VID196611 VRZ196609:VRZ196611 WBV196609:WBV196611 WLR196609:WLR196611 WVN196609:WVN196611 F262145:F262147 JB262145:JB262147 SX262145:SX262147 ACT262145:ACT262147 AMP262145:AMP262147 AWL262145:AWL262147 BGH262145:BGH262147 BQD262145:BQD262147 BZZ262145:BZZ262147 CJV262145:CJV262147 CTR262145:CTR262147 DDN262145:DDN262147 DNJ262145:DNJ262147 DXF262145:DXF262147 EHB262145:EHB262147 EQX262145:EQX262147 FAT262145:FAT262147 FKP262145:FKP262147 FUL262145:FUL262147 GEH262145:GEH262147 GOD262145:GOD262147 GXZ262145:GXZ262147 HHV262145:HHV262147 HRR262145:HRR262147 IBN262145:IBN262147 ILJ262145:ILJ262147 IVF262145:IVF262147 JFB262145:JFB262147 JOX262145:JOX262147 JYT262145:JYT262147 KIP262145:KIP262147 KSL262145:KSL262147 LCH262145:LCH262147 LMD262145:LMD262147 LVZ262145:LVZ262147 MFV262145:MFV262147 MPR262145:MPR262147 MZN262145:MZN262147 NJJ262145:NJJ262147 NTF262145:NTF262147 ODB262145:ODB262147 OMX262145:OMX262147 OWT262145:OWT262147 PGP262145:PGP262147 PQL262145:PQL262147 QAH262145:QAH262147 QKD262145:QKD262147 QTZ262145:QTZ262147 RDV262145:RDV262147 RNR262145:RNR262147 RXN262145:RXN262147 SHJ262145:SHJ262147 SRF262145:SRF262147 TBB262145:TBB262147 TKX262145:TKX262147 TUT262145:TUT262147 UEP262145:UEP262147 UOL262145:UOL262147 UYH262145:UYH262147 VID262145:VID262147 VRZ262145:VRZ262147 WBV262145:WBV262147 WLR262145:WLR262147 WVN262145:WVN262147 F327681:F327683 JB327681:JB327683 SX327681:SX327683 ACT327681:ACT327683 AMP327681:AMP327683 AWL327681:AWL327683 BGH327681:BGH327683 BQD327681:BQD327683 BZZ327681:BZZ327683 CJV327681:CJV327683 CTR327681:CTR327683 DDN327681:DDN327683 DNJ327681:DNJ327683 DXF327681:DXF327683 EHB327681:EHB327683 EQX327681:EQX327683 FAT327681:FAT327683 FKP327681:FKP327683 FUL327681:FUL327683 GEH327681:GEH327683 GOD327681:GOD327683 GXZ327681:GXZ327683 HHV327681:HHV327683 HRR327681:HRR327683 IBN327681:IBN327683 ILJ327681:ILJ327683 IVF327681:IVF327683 JFB327681:JFB327683 JOX327681:JOX327683 JYT327681:JYT327683 KIP327681:KIP327683 KSL327681:KSL327683 LCH327681:LCH327683 LMD327681:LMD327683 LVZ327681:LVZ327683 MFV327681:MFV327683 MPR327681:MPR327683 MZN327681:MZN327683 NJJ327681:NJJ327683 NTF327681:NTF327683 ODB327681:ODB327683 OMX327681:OMX327683 OWT327681:OWT327683 PGP327681:PGP327683 PQL327681:PQL327683 QAH327681:QAH327683 QKD327681:QKD327683 QTZ327681:QTZ327683 RDV327681:RDV327683 RNR327681:RNR327683 RXN327681:RXN327683 SHJ327681:SHJ327683 SRF327681:SRF327683 TBB327681:TBB327683 TKX327681:TKX327683 TUT327681:TUT327683 UEP327681:UEP327683 UOL327681:UOL327683 UYH327681:UYH327683 VID327681:VID327683 VRZ327681:VRZ327683 WBV327681:WBV327683 WLR327681:WLR327683 WVN327681:WVN327683 F393217:F393219 JB393217:JB393219 SX393217:SX393219 ACT393217:ACT393219 AMP393217:AMP393219 AWL393217:AWL393219 BGH393217:BGH393219 BQD393217:BQD393219 BZZ393217:BZZ393219 CJV393217:CJV393219 CTR393217:CTR393219 DDN393217:DDN393219 DNJ393217:DNJ393219 DXF393217:DXF393219 EHB393217:EHB393219 EQX393217:EQX393219 FAT393217:FAT393219 FKP393217:FKP393219 FUL393217:FUL393219 GEH393217:GEH393219 GOD393217:GOD393219 GXZ393217:GXZ393219 HHV393217:HHV393219 HRR393217:HRR393219 IBN393217:IBN393219 ILJ393217:ILJ393219 IVF393217:IVF393219 JFB393217:JFB393219 JOX393217:JOX393219 JYT393217:JYT393219 KIP393217:KIP393219 KSL393217:KSL393219 LCH393217:LCH393219 LMD393217:LMD393219 LVZ393217:LVZ393219 MFV393217:MFV393219 MPR393217:MPR393219 MZN393217:MZN393219 NJJ393217:NJJ393219 NTF393217:NTF393219 ODB393217:ODB393219 OMX393217:OMX393219 OWT393217:OWT393219 PGP393217:PGP393219 PQL393217:PQL393219 QAH393217:QAH393219 QKD393217:QKD393219 QTZ393217:QTZ393219 RDV393217:RDV393219 RNR393217:RNR393219 RXN393217:RXN393219 SHJ393217:SHJ393219 SRF393217:SRF393219 TBB393217:TBB393219 TKX393217:TKX393219 TUT393217:TUT393219 UEP393217:UEP393219 UOL393217:UOL393219 UYH393217:UYH393219 VID393217:VID393219 VRZ393217:VRZ393219 WBV393217:WBV393219 WLR393217:WLR393219 WVN393217:WVN393219 F458753:F458755 JB458753:JB458755 SX458753:SX458755 ACT458753:ACT458755 AMP458753:AMP458755 AWL458753:AWL458755 BGH458753:BGH458755 BQD458753:BQD458755 BZZ458753:BZZ458755 CJV458753:CJV458755 CTR458753:CTR458755 DDN458753:DDN458755 DNJ458753:DNJ458755 DXF458753:DXF458755 EHB458753:EHB458755 EQX458753:EQX458755 FAT458753:FAT458755 FKP458753:FKP458755 FUL458753:FUL458755 GEH458753:GEH458755 GOD458753:GOD458755 GXZ458753:GXZ458755 HHV458753:HHV458755 HRR458753:HRR458755 IBN458753:IBN458755 ILJ458753:ILJ458755 IVF458753:IVF458755 JFB458753:JFB458755 JOX458753:JOX458755 JYT458753:JYT458755 KIP458753:KIP458755 KSL458753:KSL458755 LCH458753:LCH458755 LMD458753:LMD458755 LVZ458753:LVZ458755 MFV458753:MFV458755 MPR458753:MPR458755 MZN458753:MZN458755 NJJ458753:NJJ458755 NTF458753:NTF458755 ODB458753:ODB458755 OMX458753:OMX458755 OWT458753:OWT458755 PGP458753:PGP458755 PQL458753:PQL458755 QAH458753:QAH458755 QKD458753:QKD458755 QTZ458753:QTZ458755 RDV458753:RDV458755 RNR458753:RNR458755 RXN458753:RXN458755 SHJ458753:SHJ458755 SRF458753:SRF458755 TBB458753:TBB458755 TKX458753:TKX458755 TUT458753:TUT458755 UEP458753:UEP458755 UOL458753:UOL458755 UYH458753:UYH458755 VID458753:VID458755 VRZ458753:VRZ458755 WBV458753:WBV458755 WLR458753:WLR458755 WVN458753:WVN458755 F524289:F524291 JB524289:JB524291 SX524289:SX524291 ACT524289:ACT524291 AMP524289:AMP524291 AWL524289:AWL524291 BGH524289:BGH524291 BQD524289:BQD524291 BZZ524289:BZZ524291 CJV524289:CJV524291 CTR524289:CTR524291 DDN524289:DDN524291 DNJ524289:DNJ524291 DXF524289:DXF524291 EHB524289:EHB524291 EQX524289:EQX524291 FAT524289:FAT524291 FKP524289:FKP524291 FUL524289:FUL524291 GEH524289:GEH524291 GOD524289:GOD524291 GXZ524289:GXZ524291 HHV524289:HHV524291 HRR524289:HRR524291 IBN524289:IBN524291 ILJ524289:ILJ524291 IVF524289:IVF524291 JFB524289:JFB524291 JOX524289:JOX524291 JYT524289:JYT524291 KIP524289:KIP524291 KSL524289:KSL524291 LCH524289:LCH524291 LMD524289:LMD524291 LVZ524289:LVZ524291 MFV524289:MFV524291 MPR524289:MPR524291 MZN524289:MZN524291 NJJ524289:NJJ524291 NTF524289:NTF524291 ODB524289:ODB524291 OMX524289:OMX524291 OWT524289:OWT524291 PGP524289:PGP524291 PQL524289:PQL524291 QAH524289:QAH524291 QKD524289:QKD524291 QTZ524289:QTZ524291 RDV524289:RDV524291 RNR524289:RNR524291 RXN524289:RXN524291 SHJ524289:SHJ524291 SRF524289:SRF524291 TBB524289:TBB524291 TKX524289:TKX524291 TUT524289:TUT524291 UEP524289:UEP524291 UOL524289:UOL524291 UYH524289:UYH524291 VID524289:VID524291 VRZ524289:VRZ524291 WBV524289:WBV524291 WLR524289:WLR524291 WVN524289:WVN524291 F589825:F589827 JB589825:JB589827 SX589825:SX589827 ACT589825:ACT589827 AMP589825:AMP589827 AWL589825:AWL589827 BGH589825:BGH589827 BQD589825:BQD589827 BZZ589825:BZZ589827 CJV589825:CJV589827 CTR589825:CTR589827 DDN589825:DDN589827 DNJ589825:DNJ589827 DXF589825:DXF589827 EHB589825:EHB589827 EQX589825:EQX589827 FAT589825:FAT589827 FKP589825:FKP589827 FUL589825:FUL589827 GEH589825:GEH589827 GOD589825:GOD589827 GXZ589825:GXZ589827 HHV589825:HHV589827 HRR589825:HRR589827 IBN589825:IBN589827 ILJ589825:ILJ589827 IVF589825:IVF589827 JFB589825:JFB589827 JOX589825:JOX589827 JYT589825:JYT589827 KIP589825:KIP589827 KSL589825:KSL589827 LCH589825:LCH589827 LMD589825:LMD589827 LVZ589825:LVZ589827 MFV589825:MFV589827 MPR589825:MPR589827 MZN589825:MZN589827 NJJ589825:NJJ589827 NTF589825:NTF589827 ODB589825:ODB589827 OMX589825:OMX589827 OWT589825:OWT589827 PGP589825:PGP589827 PQL589825:PQL589827 QAH589825:QAH589827 QKD589825:QKD589827 QTZ589825:QTZ589827 RDV589825:RDV589827 RNR589825:RNR589827 RXN589825:RXN589827 SHJ589825:SHJ589827 SRF589825:SRF589827 TBB589825:TBB589827 TKX589825:TKX589827 TUT589825:TUT589827 UEP589825:UEP589827 UOL589825:UOL589827 UYH589825:UYH589827 VID589825:VID589827 VRZ589825:VRZ589827 WBV589825:WBV589827 WLR589825:WLR589827 WVN589825:WVN589827 F655361:F655363 JB655361:JB655363 SX655361:SX655363 ACT655361:ACT655363 AMP655361:AMP655363 AWL655361:AWL655363 BGH655361:BGH655363 BQD655361:BQD655363 BZZ655361:BZZ655363 CJV655361:CJV655363 CTR655361:CTR655363 DDN655361:DDN655363 DNJ655361:DNJ655363 DXF655361:DXF655363 EHB655361:EHB655363 EQX655361:EQX655363 FAT655361:FAT655363 FKP655361:FKP655363 FUL655361:FUL655363 GEH655361:GEH655363 GOD655361:GOD655363 GXZ655361:GXZ655363 HHV655361:HHV655363 HRR655361:HRR655363 IBN655361:IBN655363 ILJ655361:ILJ655363 IVF655361:IVF655363 JFB655361:JFB655363 JOX655361:JOX655363 JYT655361:JYT655363 KIP655361:KIP655363 KSL655361:KSL655363 LCH655361:LCH655363 LMD655361:LMD655363 LVZ655361:LVZ655363 MFV655361:MFV655363 MPR655361:MPR655363 MZN655361:MZN655363 NJJ655361:NJJ655363 NTF655361:NTF655363 ODB655361:ODB655363 OMX655361:OMX655363 OWT655361:OWT655363 PGP655361:PGP655363 PQL655361:PQL655363 QAH655361:QAH655363 QKD655361:QKD655363 QTZ655361:QTZ655363 RDV655361:RDV655363 RNR655361:RNR655363 RXN655361:RXN655363 SHJ655361:SHJ655363 SRF655361:SRF655363 TBB655361:TBB655363 TKX655361:TKX655363 TUT655361:TUT655363 UEP655361:UEP655363 UOL655361:UOL655363 UYH655361:UYH655363 VID655361:VID655363 VRZ655361:VRZ655363 WBV655361:WBV655363 WLR655361:WLR655363 WVN655361:WVN655363 F720897:F720899 JB720897:JB720899 SX720897:SX720899 ACT720897:ACT720899 AMP720897:AMP720899 AWL720897:AWL720899 BGH720897:BGH720899 BQD720897:BQD720899 BZZ720897:BZZ720899 CJV720897:CJV720899 CTR720897:CTR720899 DDN720897:DDN720899 DNJ720897:DNJ720899 DXF720897:DXF720899 EHB720897:EHB720899 EQX720897:EQX720899 FAT720897:FAT720899 FKP720897:FKP720899 FUL720897:FUL720899 GEH720897:GEH720899 GOD720897:GOD720899 GXZ720897:GXZ720899 HHV720897:HHV720899 HRR720897:HRR720899 IBN720897:IBN720899 ILJ720897:ILJ720899 IVF720897:IVF720899 JFB720897:JFB720899 JOX720897:JOX720899 JYT720897:JYT720899 KIP720897:KIP720899 KSL720897:KSL720899 LCH720897:LCH720899 LMD720897:LMD720899 LVZ720897:LVZ720899 MFV720897:MFV720899 MPR720897:MPR720899 MZN720897:MZN720899 NJJ720897:NJJ720899 NTF720897:NTF720899 ODB720897:ODB720899 OMX720897:OMX720899 OWT720897:OWT720899 PGP720897:PGP720899 PQL720897:PQL720899 QAH720897:QAH720899 QKD720897:QKD720899 QTZ720897:QTZ720899 RDV720897:RDV720899 RNR720897:RNR720899 RXN720897:RXN720899 SHJ720897:SHJ720899 SRF720897:SRF720899 TBB720897:TBB720899 TKX720897:TKX720899 TUT720897:TUT720899 UEP720897:UEP720899 UOL720897:UOL720899 UYH720897:UYH720899 VID720897:VID720899 VRZ720897:VRZ720899 WBV720897:WBV720899 WLR720897:WLR720899 WVN720897:WVN720899 F786433:F786435 JB786433:JB786435 SX786433:SX786435 ACT786433:ACT786435 AMP786433:AMP786435 AWL786433:AWL786435 BGH786433:BGH786435 BQD786433:BQD786435 BZZ786433:BZZ786435 CJV786433:CJV786435 CTR786433:CTR786435 DDN786433:DDN786435 DNJ786433:DNJ786435 DXF786433:DXF786435 EHB786433:EHB786435 EQX786433:EQX786435 FAT786433:FAT786435 FKP786433:FKP786435 FUL786433:FUL786435 GEH786433:GEH786435 GOD786433:GOD786435 GXZ786433:GXZ786435 HHV786433:HHV786435 HRR786433:HRR786435 IBN786433:IBN786435 ILJ786433:ILJ786435 IVF786433:IVF786435 JFB786433:JFB786435 JOX786433:JOX786435 JYT786433:JYT786435 KIP786433:KIP786435 KSL786433:KSL786435 LCH786433:LCH786435 LMD786433:LMD786435 LVZ786433:LVZ786435 MFV786433:MFV786435 MPR786433:MPR786435 MZN786433:MZN786435 NJJ786433:NJJ786435 NTF786433:NTF786435 ODB786433:ODB786435 OMX786433:OMX786435 OWT786433:OWT786435 PGP786433:PGP786435 PQL786433:PQL786435 QAH786433:QAH786435 QKD786433:QKD786435 QTZ786433:QTZ786435 RDV786433:RDV786435 RNR786433:RNR786435 RXN786433:RXN786435 SHJ786433:SHJ786435 SRF786433:SRF786435 TBB786433:TBB786435 TKX786433:TKX786435 TUT786433:TUT786435 UEP786433:UEP786435 UOL786433:UOL786435 UYH786433:UYH786435 VID786433:VID786435 VRZ786433:VRZ786435 WBV786433:WBV786435 WLR786433:WLR786435 WVN786433:WVN786435 F851969:F851971 JB851969:JB851971 SX851969:SX851971 ACT851969:ACT851971 AMP851969:AMP851971 AWL851969:AWL851971 BGH851969:BGH851971 BQD851969:BQD851971 BZZ851969:BZZ851971 CJV851969:CJV851971 CTR851969:CTR851971 DDN851969:DDN851971 DNJ851969:DNJ851971 DXF851969:DXF851971 EHB851969:EHB851971 EQX851969:EQX851971 FAT851969:FAT851971 FKP851969:FKP851971 FUL851969:FUL851971 GEH851969:GEH851971 GOD851969:GOD851971 GXZ851969:GXZ851971 HHV851969:HHV851971 HRR851969:HRR851971 IBN851969:IBN851971 ILJ851969:ILJ851971 IVF851969:IVF851971 JFB851969:JFB851971 JOX851969:JOX851971 JYT851969:JYT851971 KIP851969:KIP851971 KSL851969:KSL851971 LCH851969:LCH851971 LMD851969:LMD851971 LVZ851969:LVZ851971 MFV851969:MFV851971 MPR851969:MPR851971 MZN851969:MZN851971 NJJ851969:NJJ851971 NTF851969:NTF851971 ODB851969:ODB851971 OMX851969:OMX851971 OWT851969:OWT851971 PGP851969:PGP851971 PQL851969:PQL851971 QAH851969:QAH851971 QKD851969:QKD851971 QTZ851969:QTZ851971 RDV851969:RDV851971 RNR851969:RNR851971 RXN851969:RXN851971 SHJ851969:SHJ851971 SRF851969:SRF851971 TBB851969:TBB851971 TKX851969:TKX851971 TUT851969:TUT851971 UEP851969:UEP851971 UOL851969:UOL851971 UYH851969:UYH851971 VID851969:VID851971 VRZ851969:VRZ851971 WBV851969:WBV851971 WLR851969:WLR851971 WVN851969:WVN851971 F917505:F917507 JB917505:JB917507 SX917505:SX917507 ACT917505:ACT917507 AMP917505:AMP917507 AWL917505:AWL917507 BGH917505:BGH917507 BQD917505:BQD917507 BZZ917505:BZZ917507 CJV917505:CJV917507 CTR917505:CTR917507 DDN917505:DDN917507 DNJ917505:DNJ917507 DXF917505:DXF917507 EHB917505:EHB917507 EQX917505:EQX917507 FAT917505:FAT917507 FKP917505:FKP917507 FUL917505:FUL917507 GEH917505:GEH917507 GOD917505:GOD917507 GXZ917505:GXZ917507 HHV917505:HHV917507 HRR917505:HRR917507 IBN917505:IBN917507 ILJ917505:ILJ917507 IVF917505:IVF917507 JFB917505:JFB917507 JOX917505:JOX917507 JYT917505:JYT917507 KIP917505:KIP917507 KSL917505:KSL917507 LCH917505:LCH917507 LMD917505:LMD917507 LVZ917505:LVZ917507 MFV917505:MFV917507 MPR917505:MPR917507 MZN917505:MZN917507 NJJ917505:NJJ917507 NTF917505:NTF917507 ODB917505:ODB917507 OMX917505:OMX917507 OWT917505:OWT917507 PGP917505:PGP917507 PQL917505:PQL917507 QAH917505:QAH917507 QKD917505:QKD917507 QTZ917505:QTZ917507 RDV917505:RDV917507 RNR917505:RNR917507 RXN917505:RXN917507 SHJ917505:SHJ917507 SRF917505:SRF917507 TBB917505:TBB917507 TKX917505:TKX917507 TUT917505:TUT917507 UEP917505:UEP917507 UOL917505:UOL917507 UYH917505:UYH917507 VID917505:VID917507 VRZ917505:VRZ917507 WBV917505:WBV917507 WLR917505:WLR917507 WVN917505:WVN917507 F983041:F983043 JB983041:JB983043 SX983041:SX983043 ACT983041:ACT983043 AMP983041:AMP983043 AWL983041:AWL983043 BGH983041:BGH983043 BQD983041:BQD983043 BZZ983041:BZZ983043 CJV983041:CJV983043 CTR983041:CTR983043 DDN983041:DDN983043 DNJ983041:DNJ983043 DXF983041:DXF983043 EHB983041:EHB983043 EQX983041:EQX983043 FAT983041:FAT983043 FKP983041:FKP983043 FUL983041:FUL983043 GEH983041:GEH983043 GOD983041:GOD983043 GXZ983041:GXZ983043 HHV983041:HHV983043 HRR983041:HRR983043 IBN983041:IBN983043 ILJ983041:ILJ983043 IVF983041:IVF983043 JFB983041:JFB983043 JOX983041:JOX983043 JYT983041:JYT983043 KIP983041:KIP983043 KSL983041:KSL983043 LCH983041:LCH983043 LMD983041:LMD983043 LVZ983041:LVZ983043 MFV983041:MFV983043 MPR983041:MPR983043 MZN983041:MZN983043 NJJ983041:NJJ983043 NTF983041:NTF983043 ODB983041:ODB983043 OMX983041:OMX983043 OWT983041:OWT983043 PGP983041:PGP983043 PQL983041:PQL983043 QAH983041:QAH983043 QKD983041:QKD983043 QTZ983041:QTZ983043 RDV983041:RDV983043 RNR983041:RNR983043 RXN983041:RXN983043 SHJ983041:SHJ983043 SRF983041:SRF983043 TBB983041:TBB983043 TKX983041:TKX983043 TUT983041:TUT983043 UEP983041:UEP983043 UOL983041:UOL983043 UYH983041:UYH983043 VID983041:VID983043 VRZ983041:VRZ983043 WBV983041:WBV983043 WLR983041:WLR983043 WVN983041:WVN983043 WVN983047:WVN983184 JB7:JB144 SX7:SX144 ACT7:ACT144 AMP7:AMP144 AWL7:AWL144 BGH7:BGH144 BQD7:BQD144 BZZ7:BZZ144 CJV7:CJV144 CTR7:CTR144 DDN7:DDN144 DNJ7:DNJ144 DXF7:DXF144 EHB7:EHB144 EQX7:EQX144 FAT7:FAT144 FKP7:FKP144 FUL7:FUL144 GEH7:GEH144 GOD7:GOD144 GXZ7:GXZ144 HHV7:HHV144 HRR7:HRR144 IBN7:IBN144 ILJ7:ILJ144 IVF7:IVF144 JFB7:JFB144 JOX7:JOX144 JYT7:JYT144 KIP7:KIP144 KSL7:KSL144 LCH7:LCH144 LMD7:LMD144 LVZ7:LVZ144 MFV7:MFV144 MPR7:MPR144 MZN7:MZN144 NJJ7:NJJ144 NTF7:NTF144 ODB7:ODB144 OMX7:OMX144 OWT7:OWT144 PGP7:PGP144 PQL7:PQL144 QAH7:QAH144 QKD7:QKD144 QTZ7:QTZ144 RDV7:RDV144 RNR7:RNR144 RXN7:RXN144 SHJ7:SHJ144 SRF7:SRF144 TBB7:TBB144 TKX7:TKX144 TUT7:TUT144 UEP7:UEP144 UOL7:UOL144 UYH7:UYH144 VID7:VID144 VRZ7:VRZ144 WBV7:WBV144 WLR7:WLR144 WVN7:WVN144 F65543:F65680 JB65543:JB65680 SX65543:SX65680 ACT65543:ACT65680 AMP65543:AMP65680 AWL65543:AWL65680 BGH65543:BGH65680 BQD65543:BQD65680 BZZ65543:BZZ65680 CJV65543:CJV65680 CTR65543:CTR65680 DDN65543:DDN65680 DNJ65543:DNJ65680 DXF65543:DXF65680 EHB65543:EHB65680 EQX65543:EQX65680 FAT65543:FAT65680 FKP65543:FKP65680 FUL65543:FUL65680 GEH65543:GEH65680 GOD65543:GOD65680 GXZ65543:GXZ65680 HHV65543:HHV65680 HRR65543:HRR65680 IBN65543:IBN65680 ILJ65543:ILJ65680 IVF65543:IVF65680 JFB65543:JFB65680 JOX65543:JOX65680 JYT65543:JYT65680 KIP65543:KIP65680 KSL65543:KSL65680 LCH65543:LCH65680 LMD65543:LMD65680 LVZ65543:LVZ65680 MFV65543:MFV65680 MPR65543:MPR65680 MZN65543:MZN65680 NJJ65543:NJJ65680 NTF65543:NTF65680 ODB65543:ODB65680 OMX65543:OMX65680 OWT65543:OWT65680 PGP65543:PGP65680 PQL65543:PQL65680 QAH65543:QAH65680 QKD65543:QKD65680 QTZ65543:QTZ65680 RDV65543:RDV65680 RNR65543:RNR65680 RXN65543:RXN65680 SHJ65543:SHJ65680 SRF65543:SRF65680 TBB65543:TBB65680 TKX65543:TKX65680 TUT65543:TUT65680 UEP65543:UEP65680 UOL65543:UOL65680 UYH65543:UYH65680 VID65543:VID65680 VRZ65543:VRZ65680 WBV65543:WBV65680 WLR65543:WLR65680 WVN65543:WVN65680 F131079:F131216 JB131079:JB131216 SX131079:SX131216 ACT131079:ACT131216 AMP131079:AMP131216 AWL131079:AWL131216 BGH131079:BGH131216 BQD131079:BQD131216 BZZ131079:BZZ131216 CJV131079:CJV131216 CTR131079:CTR131216 DDN131079:DDN131216 DNJ131079:DNJ131216 DXF131079:DXF131216 EHB131079:EHB131216 EQX131079:EQX131216 FAT131079:FAT131216 FKP131079:FKP131216 FUL131079:FUL131216 GEH131079:GEH131216 GOD131079:GOD131216 GXZ131079:GXZ131216 HHV131079:HHV131216 HRR131079:HRR131216 IBN131079:IBN131216 ILJ131079:ILJ131216 IVF131079:IVF131216 JFB131079:JFB131216 JOX131079:JOX131216 JYT131079:JYT131216 KIP131079:KIP131216 KSL131079:KSL131216 LCH131079:LCH131216 LMD131079:LMD131216 LVZ131079:LVZ131216 MFV131079:MFV131216 MPR131079:MPR131216 MZN131079:MZN131216 NJJ131079:NJJ131216 NTF131079:NTF131216 ODB131079:ODB131216 OMX131079:OMX131216 OWT131079:OWT131216 PGP131079:PGP131216 PQL131079:PQL131216 QAH131079:QAH131216 QKD131079:QKD131216 QTZ131079:QTZ131216 RDV131079:RDV131216 RNR131079:RNR131216 RXN131079:RXN131216 SHJ131079:SHJ131216 SRF131079:SRF131216 TBB131079:TBB131216 TKX131079:TKX131216 TUT131079:TUT131216 UEP131079:UEP131216 UOL131079:UOL131216 UYH131079:UYH131216 VID131079:VID131216 VRZ131079:VRZ131216 WBV131079:WBV131216 WLR131079:WLR131216 WVN131079:WVN131216 F196615:F196752 JB196615:JB196752 SX196615:SX196752 ACT196615:ACT196752 AMP196615:AMP196752 AWL196615:AWL196752 BGH196615:BGH196752 BQD196615:BQD196752 BZZ196615:BZZ196752 CJV196615:CJV196752 CTR196615:CTR196752 DDN196615:DDN196752 DNJ196615:DNJ196752 DXF196615:DXF196752 EHB196615:EHB196752 EQX196615:EQX196752 FAT196615:FAT196752 FKP196615:FKP196752 FUL196615:FUL196752 GEH196615:GEH196752 GOD196615:GOD196752 GXZ196615:GXZ196752 HHV196615:HHV196752 HRR196615:HRR196752 IBN196615:IBN196752 ILJ196615:ILJ196752 IVF196615:IVF196752 JFB196615:JFB196752 JOX196615:JOX196752 JYT196615:JYT196752 KIP196615:KIP196752 KSL196615:KSL196752 LCH196615:LCH196752 LMD196615:LMD196752 LVZ196615:LVZ196752 MFV196615:MFV196752 MPR196615:MPR196752 MZN196615:MZN196752 NJJ196615:NJJ196752 NTF196615:NTF196752 ODB196615:ODB196752 OMX196615:OMX196752 OWT196615:OWT196752 PGP196615:PGP196752 PQL196615:PQL196752 QAH196615:QAH196752 QKD196615:QKD196752 QTZ196615:QTZ196752 RDV196615:RDV196752 RNR196615:RNR196752 RXN196615:RXN196752 SHJ196615:SHJ196752 SRF196615:SRF196752 TBB196615:TBB196752 TKX196615:TKX196752 TUT196615:TUT196752 UEP196615:UEP196752 UOL196615:UOL196752 UYH196615:UYH196752 VID196615:VID196752 VRZ196615:VRZ196752 WBV196615:WBV196752 WLR196615:WLR196752 WVN196615:WVN196752 F262151:F262288 JB262151:JB262288 SX262151:SX262288 ACT262151:ACT262288 AMP262151:AMP262288 AWL262151:AWL262288 BGH262151:BGH262288 BQD262151:BQD262288 BZZ262151:BZZ262288 CJV262151:CJV262288 CTR262151:CTR262288 DDN262151:DDN262288 DNJ262151:DNJ262288 DXF262151:DXF262288 EHB262151:EHB262288 EQX262151:EQX262288 FAT262151:FAT262288 FKP262151:FKP262288 FUL262151:FUL262288 GEH262151:GEH262288 GOD262151:GOD262288 GXZ262151:GXZ262288 HHV262151:HHV262288 HRR262151:HRR262288 IBN262151:IBN262288 ILJ262151:ILJ262288 IVF262151:IVF262288 JFB262151:JFB262288 JOX262151:JOX262288 JYT262151:JYT262288 KIP262151:KIP262288 KSL262151:KSL262288 LCH262151:LCH262288 LMD262151:LMD262288 LVZ262151:LVZ262288 MFV262151:MFV262288 MPR262151:MPR262288 MZN262151:MZN262288 NJJ262151:NJJ262288 NTF262151:NTF262288 ODB262151:ODB262288 OMX262151:OMX262288 OWT262151:OWT262288 PGP262151:PGP262288 PQL262151:PQL262288 QAH262151:QAH262288 QKD262151:QKD262288 QTZ262151:QTZ262288 RDV262151:RDV262288 RNR262151:RNR262288 RXN262151:RXN262288 SHJ262151:SHJ262288 SRF262151:SRF262288 TBB262151:TBB262288 TKX262151:TKX262288 TUT262151:TUT262288 UEP262151:UEP262288 UOL262151:UOL262288 UYH262151:UYH262288 VID262151:VID262288 VRZ262151:VRZ262288 WBV262151:WBV262288 WLR262151:WLR262288 WVN262151:WVN262288 F327687:F327824 JB327687:JB327824 SX327687:SX327824 ACT327687:ACT327824 AMP327687:AMP327824 AWL327687:AWL327824 BGH327687:BGH327824 BQD327687:BQD327824 BZZ327687:BZZ327824 CJV327687:CJV327824 CTR327687:CTR327824 DDN327687:DDN327824 DNJ327687:DNJ327824 DXF327687:DXF327824 EHB327687:EHB327824 EQX327687:EQX327824 FAT327687:FAT327824 FKP327687:FKP327824 FUL327687:FUL327824 GEH327687:GEH327824 GOD327687:GOD327824 GXZ327687:GXZ327824 HHV327687:HHV327824 HRR327687:HRR327824 IBN327687:IBN327824 ILJ327687:ILJ327824 IVF327687:IVF327824 JFB327687:JFB327824 JOX327687:JOX327824 JYT327687:JYT327824 KIP327687:KIP327824 KSL327687:KSL327824 LCH327687:LCH327824 LMD327687:LMD327824 LVZ327687:LVZ327824 MFV327687:MFV327824 MPR327687:MPR327824 MZN327687:MZN327824 NJJ327687:NJJ327824 NTF327687:NTF327824 ODB327687:ODB327824 OMX327687:OMX327824 OWT327687:OWT327824 PGP327687:PGP327824 PQL327687:PQL327824 QAH327687:QAH327824 QKD327687:QKD327824 QTZ327687:QTZ327824 RDV327687:RDV327824 RNR327687:RNR327824 RXN327687:RXN327824 SHJ327687:SHJ327824 SRF327687:SRF327824 TBB327687:TBB327824 TKX327687:TKX327824 TUT327687:TUT327824 UEP327687:UEP327824 UOL327687:UOL327824 UYH327687:UYH327824 VID327687:VID327824 VRZ327687:VRZ327824 WBV327687:WBV327824 WLR327687:WLR327824 WVN327687:WVN327824 F393223:F393360 JB393223:JB393360 SX393223:SX393360 ACT393223:ACT393360 AMP393223:AMP393360 AWL393223:AWL393360 BGH393223:BGH393360 BQD393223:BQD393360 BZZ393223:BZZ393360 CJV393223:CJV393360 CTR393223:CTR393360 DDN393223:DDN393360 DNJ393223:DNJ393360 DXF393223:DXF393360 EHB393223:EHB393360 EQX393223:EQX393360 FAT393223:FAT393360 FKP393223:FKP393360 FUL393223:FUL393360 GEH393223:GEH393360 GOD393223:GOD393360 GXZ393223:GXZ393360 HHV393223:HHV393360 HRR393223:HRR393360 IBN393223:IBN393360 ILJ393223:ILJ393360 IVF393223:IVF393360 JFB393223:JFB393360 JOX393223:JOX393360 JYT393223:JYT393360 KIP393223:KIP393360 KSL393223:KSL393360 LCH393223:LCH393360 LMD393223:LMD393360 LVZ393223:LVZ393360 MFV393223:MFV393360 MPR393223:MPR393360 MZN393223:MZN393360 NJJ393223:NJJ393360 NTF393223:NTF393360 ODB393223:ODB393360 OMX393223:OMX393360 OWT393223:OWT393360 PGP393223:PGP393360 PQL393223:PQL393360 QAH393223:QAH393360 QKD393223:QKD393360 QTZ393223:QTZ393360 RDV393223:RDV393360 RNR393223:RNR393360 RXN393223:RXN393360 SHJ393223:SHJ393360 SRF393223:SRF393360 TBB393223:TBB393360 TKX393223:TKX393360 TUT393223:TUT393360 UEP393223:UEP393360 UOL393223:UOL393360 UYH393223:UYH393360 VID393223:VID393360 VRZ393223:VRZ393360 WBV393223:WBV393360 WLR393223:WLR393360 WVN393223:WVN393360 F458759:F458896 JB458759:JB458896 SX458759:SX458896 ACT458759:ACT458896 AMP458759:AMP458896 AWL458759:AWL458896 BGH458759:BGH458896 BQD458759:BQD458896 BZZ458759:BZZ458896 CJV458759:CJV458896 CTR458759:CTR458896 DDN458759:DDN458896 DNJ458759:DNJ458896 DXF458759:DXF458896 EHB458759:EHB458896 EQX458759:EQX458896 FAT458759:FAT458896 FKP458759:FKP458896 FUL458759:FUL458896 GEH458759:GEH458896 GOD458759:GOD458896 GXZ458759:GXZ458896 HHV458759:HHV458896 HRR458759:HRR458896 IBN458759:IBN458896 ILJ458759:ILJ458896 IVF458759:IVF458896 JFB458759:JFB458896 JOX458759:JOX458896 JYT458759:JYT458896 KIP458759:KIP458896 KSL458759:KSL458896 LCH458759:LCH458896 LMD458759:LMD458896 LVZ458759:LVZ458896 MFV458759:MFV458896 MPR458759:MPR458896 MZN458759:MZN458896 NJJ458759:NJJ458896 NTF458759:NTF458896 ODB458759:ODB458896 OMX458759:OMX458896 OWT458759:OWT458896 PGP458759:PGP458896 PQL458759:PQL458896 QAH458759:QAH458896 QKD458759:QKD458896 QTZ458759:QTZ458896 RDV458759:RDV458896 RNR458759:RNR458896 RXN458759:RXN458896 SHJ458759:SHJ458896 SRF458759:SRF458896 TBB458759:TBB458896 TKX458759:TKX458896 TUT458759:TUT458896 UEP458759:UEP458896 UOL458759:UOL458896 UYH458759:UYH458896 VID458759:VID458896 VRZ458759:VRZ458896 WBV458759:WBV458896 WLR458759:WLR458896 WVN458759:WVN458896 F524295:F524432 JB524295:JB524432 SX524295:SX524432 ACT524295:ACT524432 AMP524295:AMP524432 AWL524295:AWL524432 BGH524295:BGH524432 BQD524295:BQD524432 BZZ524295:BZZ524432 CJV524295:CJV524432 CTR524295:CTR524432 DDN524295:DDN524432 DNJ524295:DNJ524432 DXF524295:DXF524432 EHB524295:EHB524432 EQX524295:EQX524432 FAT524295:FAT524432 FKP524295:FKP524432 FUL524295:FUL524432 GEH524295:GEH524432 GOD524295:GOD524432 GXZ524295:GXZ524432 HHV524295:HHV524432 HRR524295:HRR524432 IBN524295:IBN524432 ILJ524295:ILJ524432 IVF524295:IVF524432 JFB524295:JFB524432 JOX524295:JOX524432 JYT524295:JYT524432 KIP524295:KIP524432 KSL524295:KSL524432 LCH524295:LCH524432 LMD524295:LMD524432 LVZ524295:LVZ524432 MFV524295:MFV524432 MPR524295:MPR524432 MZN524295:MZN524432 NJJ524295:NJJ524432 NTF524295:NTF524432 ODB524295:ODB524432 OMX524295:OMX524432 OWT524295:OWT524432 PGP524295:PGP524432 PQL524295:PQL524432 QAH524295:QAH524432 QKD524295:QKD524432 QTZ524295:QTZ524432 RDV524295:RDV524432 RNR524295:RNR524432 RXN524295:RXN524432 SHJ524295:SHJ524432 SRF524295:SRF524432 TBB524295:TBB524432 TKX524295:TKX524432 TUT524295:TUT524432 UEP524295:UEP524432 UOL524295:UOL524432 UYH524295:UYH524432 VID524295:VID524432 VRZ524295:VRZ524432 WBV524295:WBV524432 WLR524295:WLR524432 WVN524295:WVN524432 F589831:F589968 JB589831:JB589968 SX589831:SX589968 ACT589831:ACT589968 AMP589831:AMP589968 AWL589831:AWL589968 BGH589831:BGH589968 BQD589831:BQD589968 BZZ589831:BZZ589968 CJV589831:CJV589968 CTR589831:CTR589968 DDN589831:DDN589968 DNJ589831:DNJ589968 DXF589831:DXF589968 EHB589831:EHB589968 EQX589831:EQX589968 FAT589831:FAT589968 FKP589831:FKP589968 FUL589831:FUL589968 GEH589831:GEH589968 GOD589831:GOD589968 GXZ589831:GXZ589968 HHV589831:HHV589968 HRR589831:HRR589968 IBN589831:IBN589968 ILJ589831:ILJ589968 IVF589831:IVF589968 JFB589831:JFB589968 JOX589831:JOX589968 JYT589831:JYT589968 KIP589831:KIP589968 KSL589831:KSL589968 LCH589831:LCH589968 LMD589831:LMD589968 LVZ589831:LVZ589968 MFV589831:MFV589968 MPR589831:MPR589968 MZN589831:MZN589968 NJJ589831:NJJ589968 NTF589831:NTF589968 ODB589831:ODB589968 OMX589831:OMX589968 OWT589831:OWT589968 PGP589831:PGP589968 PQL589831:PQL589968 QAH589831:QAH589968 QKD589831:QKD589968 QTZ589831:QTZ589968 RDV589831:RDV589968 RNR589831:RNR589968 RXN589831:RXN589968 SHJ589831:SHJ589968 SRF589831:SRF589968 TBB589831:TBB589968 TKX589831:TKX589968 TUT589831:TUT589968 UEP589831:UEP589968 UOL589831:UOL589968 UYH589831:UYH589968 VID589831:VID589968 VRZ589831:VRZ589968 WBV589831:WBV589968 WLR589831:WLR589968 WVN589831:WVN589968 F655367:F655504 JB655367:JB655504 SX655367:SX655504 ACT655367:ACT655504 AMP655367:AMP655504 AWL655367:AWL655504 BGH655367:BGH655504 BQD655367:BQD655504 BZZ655367:BZZ655504 CJV655367:CJV655504 CTR655367:CTR655504 DDN655367:DDN655504 DNJ655367:DNJ655504 DXF655367:DXF655504 EHB655367:EHB655504 EQX655367:EQX655504 FAT655367:FAT655504 FKP655367:FKP655504 FUL655367:FUL655504 GEH655367:GEH655504 GOD655367:GOD655504 GXZ655367:GXZ655504 HHV655367:HHV655504 HRR655367:HRR655504 IBN655367:IBN655504 ILJ655367:ILJ655504 IVF655367:IVF655504 JFB655367:JFB655504 JOX655367:JOX655504 JYT655367:JYT655504 KIP655367:KIP655504 KSL655367:KSL655504 LCH655367:LCH655504 LMD655367:LMD655504 LVZ655367:LVZ655504 MFV655367:MFV655504 MPR655367:MPR655504 MZN655367:MZN655504 NJJ655367:NJJ655504 NTF655367:NTF655504 ODB655367:ODB655504 OMX655367:OMX655504 OWT655367:OWT655504 PGP655367:PGP655504 PQL655367:PQL655504 QAH655367:QAH655504 QKD655367:QKD655504 QTZ655367:QTZ655504 RDV655367:RDV655504 RNR655367:RNR655504 RXN655367:RXN655504 SHJ655367:SHJ655504 SRF655367:SRF655504 TBB655367:TBB655504 TKX655367:TKX655504 TUT655367:TUT655504 UEP655367:UEP655504 UOL655367:UOL655504 UYH655367:UYH655504 VID655367:VID655504 VRZ655367:VRZ655504 WBV655367:WBV655504 WLR655367:WLR655504 WVN655367:WVN655504 F720903:F721040 JB720903:JB721040 SX720903:SX721040 ACT720903:ACT721040 AMP720903:AMP721040 AWL720903:AWL721040 BGH720903:BGH721040 BQD720903:BQD721040 BZZ720903:BZZ721040 CJV720903:CJV721040 CTR720903:CTR721040 DDN720903:DDN721040 DNJ720903:DNJ721040 DXF720903:DXF721040 EHB720903:EHB721040 EQX720903:EQX721040 FAT720903:FAT721040 FKP720903:FKP721040 FUL720903:FUL721040 GEH720903:GEH721040 GOD720903:GOD721040 GXZ720903:GXZ721040 HHV720903:HHV721040 HRR720903:HRR721040 IBN720903:IBN721040 ILJ720903:ILJ721040 IVF720903:IVF721040 JFB720903:JFB721040 JOX720903:JOX721040 JYT720903:JYT721040 KIP720903:KIP721040 KSL720903:KSL721040 LCH720903:LCH721040 LMD720903:LMD721040 LVZ720903:LVZ721040 MFV720903:MFV721040 MPR720903:MPR721040 MZN720903:MZN721040 NJJ720903:NJJ721040 NTF720903:NTF721040 ODB720903:ODB721040 OMX720903:OMX721040 OWT720903:OWT721040 PGP720903:PGP721040 PQL720903:PQL721040 QAH720903:QAH721040 QKD720903:QKD721040 QTZ720903:QTZ721040 RDV720903:RDV721040 RNR720903:RNR721040 RXN720903:RXN721040 SHJ720903:SHJ721040 SRF720903:SRF721040 TBB720903:TBB721040 TKX720903:TKX721040 TUT720903:TUT721040 UEP720903:UEP721040 UOL720903:UOL721040 UYH720903:UYH721040 VID720903:VID721040 VRZ720903:VRZ721040 WBV720903:WBV721040 WLR720903:WLR721040 WVN720903:WVN721040 F786439:F786576 JB786439:JB786576 SX786439:SX786576 ACT786439:ACT786576 AMP786439:AMP786576 AWL786439:AWL786576 BGH786439:BGH786576 BQD786439:BQD786576 BZZ786439:BZZ786576 CJV786439:CJV786576 CTR786439:CTR786576 DDN786439:DDN786576 DNJ786439:DNJ786576 DXF786439:DXF786576 EHB786439:EHB786576 EQX786439:EQX786576 FAT786439:FAT786576 FKP786439:FKP786576 FUL786439:FUL786576 GEH786439:GEH786576 GOD786439:GOD786576 GXZ786439:GXZ786576 HHV786439:HHV786576 HRR786439:HRR786576 IBN786439:IBN786576 ILJ786439:ILJ786576 IVF786439:IVF786576 JFB786439:JFB786576 JOX786439:JOX786576 JYT786439:JYT786576 KIP786439:KIP786576 KSL786439:KSL786576 LCH786439:LCH786576 LMD786439:LMD786576 LVZ786439:LVZ786576 MFV786439:MFV786576 MPR786439:MPR786576 MZN786439:MZN786576 NJJ786439:NJJ786576 NTF786439:NTF786576 ODB786439:ODB786576 OMX786439:OMX786576 OWT786439:OWT786576 PGP786439:PGP786576 PQL786439:PQL786576 QAH786439:QAH786576 QKD786439:QKD786576 QTZ786439:QTZ786576 RDV786439:RDV786576 RNR786439:RNR786576 RXN786439:RXN786576 SHJ786439:SHJ786576 SRF786439:SRF786576 TBB786439:TBB786576 TKX786439:TKX786576 TUT786439:TUT786576 UEP786439:UEP786576 UOL786439:UOL786576 UYH786439:UYH786576 VID786439:VID786576 VRZ786439:VRZ786576 WBV786439:WBV786576 WLR786439:WLR786576 WVN786439:WVN786576 F851975:F852112 JB851975:JB852112 SX851975:SX852112 ACT851975:ACT852112 AMP851975:AMP852112 AWL851975:AWL852112 BGH851975:BGH852112 BQD851975:BQD852112 BZZ851975:BZZ852112 CJV851975:CJV852112 CTR851975:CTR852112 DDN851975:DDN852112 DNJ851975:DNJ852112 DXF851975:DXF852112 EHB851975:EHB852112 EQX851975:EQX852112 FAT851975:FAT852112 FKP851975:FKP852112 FUL851975:FUL852112 GEH851975:GEH852112 GOD851975:GOD852112 GXZ851975:GXZ852112 HHV851975:HHV852112 HRR851975:HRR852112 IBN851975:IBN852112 ILJ851975:ILJ852112 IVF851975:IVF852112 JFB851975:JFB852112 JOX851975:JOX852112 JYT851975:JYT852112 KIP851975:KIP852112 KSL851975:KSL852112 LCH851975:LCH852112 LMD851975:LMD852112 LVZ851975:LVZ852112 MFV851975:MFV852112 MPR851975:MPR852112 MZN851975:MZN852112 NJJ851975:NJJ852112 NTF851975:NTF852112 ODB851975:ODB852112 OMX851975:OMX852112 OWT851975:OWT852112 PGP851975:PGP852112 PQL851975:PQL852112 QAH851975:QAH852112 QKD851975:QKD852112 QTZ851975:QTZ852112 RDV851975:RDV852112 RNR851975:RNR852112 RXN851975:RXN852112 SHJ851975:SHJ852112 SRF851975:SRF852112 TBB851975:TBB852112 TKX851975:TKX852112 TUT851975:TUT852112 UEP851975:UEP852112 UOL851975:UOL852112 UYH851975:UYH852112 VID851975:VID852112 VRZ851975:VRZ852112 WBV851975:WBV852112 WLR851975:WLR852112 WVN851975:WVN852112 F917511:F917648 JB917511:JB917648 SX917511:SX917648 ACT917511:ACT917648 AMP917511:AMP917648 AWL917511:AWL917648 BGH917511:BGH917648 BQD917511:BQD917648 BZZ917511:BZZ917648 CJV917511:CJV917648 CTR917511:CTR917648 DDN917511:DDN917648 DNJ917511:DNJ917648 DXF917511:DXF917648 EHB917511:EHB917648 EQX917511:EQX917648 FAT917511:FAT917648 FKP917511:FKP917648 FUL917511:FUL917648 GEH917511:GEH917648 GOD917511:GOD917648 GXZ917511:GXZ917648 HHV917511:HHV917648 HRR917511:HRR917648 IBN917511:IBN917648 ILJ917511:ILJ917648 IVF917511:IVF917648 JFB917511:JFB917648 JOX917511:JOX917648 JYT917511:JYT917648 KIP917511:KIP917648 KSL917511:KSL917648 LCH917511:LCH917648 LMD917511:LMD917648 LVZ917511:LVZ917648 MFV917511:MFV917648 MPR917511:MPR917648 MZN917511:MZN917648 NJJ917511:NJJ917648 NTF917511:NTF917648 ODB917511:ODB917648 OMX917511:OMX917648 OWT917511:OWT917648 PGP917511:PGP917648 PQL917511:PQL917648 QAH917511:QAH917648 QKD917511:QKD917648 QTZ917511:QTZ917648 RDV917511:RDV917648 RNR917511:RNR917648 RXN917511:RXN917648 SHJ917511:SHJ917648 SRF917511:SRF917648 TBB917511:TBB917648 TKX917511:TKX917648 TUT917511:TUT917648 UEP917511:UEP917648 UOL917511:UOL917648 UYH917511:UYH917648 VID917511:VID917648 VRZ917511:VRZ917648 WBV917511:WBV917648 WLR917511:WLR917648 WVN917511:WVN917648 F983047:F983184 JB983047:JB983184 SX983047:SX983184 ACT983047:ACT983184 AMP983047:AMP983184 AWL983047:AWL983184 BGH983047:BGH983184 BQD983047:BQD983184 BZZ983047:BZZ983184 CJV983047:CJV983184 CTR983047:CTR983184 DDN983047:DDN983184 DNJ983047:DNJ983184 DXF983047:DXF983184 EHB983047:EHB983184 EQX983047:EQX983184 FAT983047:FAT983184 FKP983047:FKP983184 FUL983047:FUL983184 GEH983047:GEH983184 GOD983047:GOD983184 GXZ983047:GXZ983184 HHV983047:HHV983184 HRR983047:HRR983184 IBN983047:IBN983184 ILJ983047:ILJ983184 IVF983047:IVF983184 JFB983047:JFB983184 JOX983047:JOX983184 JYT983047:JYT983184 KIP983047:KIP983184 KSL983047:KSL983184 LCH983047:LCH983184 LMD983047:LMD983184 LVZ983047:LVZ983184 MFV983047:MFV983184 MPR983047:MPR983184 MZN983047:MZN983184 NJJ983047:NJJ983184 NTF983047:NTF983184 ODB983047:ODB983184 OMX983047:OMX983184 OWT983047:OWT983184 PGP983047:PGP983184 PQL983047:PQL983184 QAH983047:QAH983184 QKD983047:QKD983184 QTZ983047:QTZ983184 RDV983047:RDV983184 RNR983047:RNR983184 RXN983047:RXN983184 SHJ983047:SHJ983184 SRF983047:SRF983184 TBB983047:TBB983184 TKX983047:TKX983184 TUT983047:TUT983184 UEP983047:UEP983184 UOL983047:UOL983184 UYH983047:UYH983184 VID983047:VID983184 VRZ983047:VRZ983184 WBV983047:WBV983184 WLR983047:WLR983184 F7:F144" xr:uid="{2CB417A0-45ED-40E3-8CD9-A4601F43774D}">
      <formula1>$J$2:$J$6</formula1>
      <formula2>0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4511-058B-4AEA-9916-24E1CF94474E}">
  <dimension ref="A1:H17"/>
  <sheetViews>
    <sheetView tabSelected="1" workbookViewId="0">
      <selection activeCell="H3" sqref="H3"/>
    </sheetView>
  </sheetViews>
  <sheetFormatPr defaultColWidth="9" defaultRowHeight="13.2"/>
  <cols>
    <col min="1" max="1" width="9" style="55"/>
    <col min="2" max="2" width="13.5" style="55" customWidth="1"/>
    <col min="3" max="3" width="19.3984375" style="55" customWidth="1"/>
    <col min="4" max="7" width="9" style="55"/>
    <col min="8" max="9" width="33.09765625" style="55" customWidth="1"/>
    <col min="10" max="257" width="9" style="55"/>
    <col min="258" max="258" width="13.5" style="55" customWidth="1"/>
    <col min="259" max="259" width="19.3984375" style="55" customWidth="1"/>
    <col min="260" max="263" width="9" style="55"/>
    <col min="264" max="265" width="33.09765625" style="55" customWidth="1"/>
    <col min="266" max="513" width="9" style="55"/>
    <col min="514" max="514" width="13.5" style="55" customWidth="1"/>
    <col min="515" max="515" width="19.3984375" style="55" customWidth="1"/>
    <col min="516" max="519" width="9" style="55"/>
    <col min="520" max="521" width="33.09765625" style="55" customWidth="1"/>
    <col min="522" max="769" width="9" style="55"/>
    <col min="770" max="770" width="13.5" style="55" customWidth="1"/>
    <col min="771" max="771" width="19.3984375" style="55" customWidth="1"/>
    <col min="772" max="775" width="9" style="55"/>
    <col min="776" max="777" width="33.09765625" style="55" customWidth="1"/>
    <col min="778" max="1025" width="9" style="55"/>
    <col min="1026" max="1026" width="13.5" style="55" customWidth="1"/>
    <col min="1027" max="1027" width="19.3984375" style="55" customWidth="1"/>
    <col min="1028" max="1031" width="9" style="55"/>
    <col min="1032" max="1033" width="33.09765625" style="55" customWidth="1"/>
    <col min="1034" max="1281" width="9" style="55"/>
    <col min="1282" max="1282" width="13.5" style="55" customWidth="1"/>
    <col min="1283" max="1283" width="19.3984375" style="55" customWidth="1"/>
    <col min="1284" max="1287" width="9" style="55"/>
    <col min="1288" max="1289" width="33.09765625" style="55" customWidth="1"/>
    <col min="1290" max="1537" width="9" style="55"/>
    <col min="1538" max="1538" width="13.5" style="55" customWidth="1"/>
    <col min="1539" max="1539" width="19.3984375" style="55" customWidth="1"/>
    <col min="1540" max="1543" width="9" style="55"/>
    <col min="1544" max="1545" width="33.09765625" style="55" customWidth="1"/>
    <col min="1546" max="1793" width="9" style="55"/>
    <col min="1794" max="1794" width="13.5" style="55" customWidth="1"/>
    <col min="1795" max="1795" width="19.3984375" style="55" customWidth="1"/>
    <col min="1796" max="1799" width="9" style="55"/>
    <col min="1800" max="1801" width="33.09765625" style="55" customWidth="1"/>
    <col min="1802" max="2049" width="9" style="55"/>
    <col min="2050" max="2050" width="13.5" style="55" customWidth="1"/>
    <col min="2051" max="2051" width="19.3984375" style="55" customWidth="1"/>
    <col min="2052" max="2055" width="9" style="55"/>
    <col min="2056" max="2057" width="33.09765625" style="55" customWidth="1"/>
    <col min="2058" max="2305" width="9" style="55"/>
    <col min="2306" max="2306" width="13.5" style="55" customWidth="1"/>
    <col min="2307" max="2307" width="19.3984375" style="55" customWidth="1"/>
    <col min="2308" max="2311" width="9" style="55"/>
    <col min="2312" max="2313" width="33.09765625" style="55" customWidth="1"/>
    <col min="2314" max="2561" width="9" style="55"/>
    <col min="2562" max="2562" width="13.5" style="55" customWidth="1"/>
    <col min="2563" max="2563" width="19.3984375" style="55" customWidth="1"/>
    <col min="2564" max="2567" width="9" style="55"/>
    <col min="2568" max="2569" width="33.09765625" style="55" customWidth="1"/>
    <col min="2570" max="2817" width="9" style="55"/>
    <col min="2818" max="2818" width="13.5" style="55" customWidth="1"/>
    <col min="2819" max="2819" width="19.3984375" style="55" customWidth="1"/>
    <col min="2820" max="2823" width="9" style="55"/>
    <col min="2824" max="2825" width="33.09765625" style="55" customWidth="1"/>
    <col min="2826" max="3073" width="9" style="55"/>
    <col min="3074" max="3074" width="13.5" style="55" customWidth="1"/>
    <col min="3075" max="3075" width="19.3984375" style="55" customWidth="1"/>
    <col min="3076" max="3079" width="9" style="55"/>
    <col min="3080" max="3081" width="33.09765625" style="55" customWidth="1"/>
    <col min="3082" max="3329" width="9" style="55"/>
    <col min="3330" max="3330" width="13.5" style="55" customWidth="1"/>
    <col min="3331" max="3331" width="19.3984375" style="55" customWidth="1"/>
    <col min="3332" max="3335" width="9" style="55"/>
    <col min="3336" max="3337" width="33.09765625" style="55" customWidth="1"/>
    <col min="3338" max="3585" width="9" style="55"/>
    <col min="3586" max="3586" width="13.5" style="55" customWidth="1"/>
    <col min="3587" max="3587" width="19.3984375" style="55" customWidth="1"/>
    <col min="3588" max="3591" width="9" style="55"/>
    <col min="3592" max="3593" width="33.09765625" style="55" customWidth="1"/>
    <col min="3594" max="3841" width="9" style="55"/>
    <col min="3842" max="3842" width="13.5" style="55" customWidth="1"/>
    <col min="3843" max="3843" width="19.3984375" style="55" customWidth="1"/>
    <col min="3844" max="3847" width="9" style="55"/>
    <col min="3848" max="3849" width="33.09765625" style="55" customWidth="1"/>
    <col min="3850" max="4097" width="9" style="55"/>
    <col min="4098" max="4098" width="13.5" style="55" customWidth="1"/>
    <col min="4099" max="4099" width="19.3984375" style="55" customWidth="1"/>
    <col min="4100" max="4103" width="9" style="55"/>
    <col min="4104" max="4105" width="33.09765625" style="55" customWidth="1"/>
    <col min="4106" max="4353" width="9" style="55"/>
    <col min="4354" max="4354" width="13.5" style="55" customWidth="1"/>
    <col min="4355" max="4355" width="19.3984375" style="55" customWidth="1"/>
    <col min="4356" max="4359" width="9" style="55"/>
    <col min="4360" max="4361" width="33.09765625" style="55" customWidth="1"/>
    <col min="4362" max="4609" width="9" style="55"/>
    <col min="4610" max="4610" width="13.5" style="55" customWidth="1"/>
    <col min="4611" max="4611" width="19.3984375" style="55" customWidth="1"/>
    <col min="4612" max="4615" width="9" style="55"/>
    <col min="4616" max="4617" width="33.09765625" style="55" customWidth="1"/>
    <col min="4618" max="4865" width="9" style="55"/>
    <col min="4866" max="4866" width="13.5" style="55" customWidth="1"/>
    <col min="4867" max="4867" width="19.3984375" style="55" customWidth="1"/>
    <col min="4868" max="4871" width="9" style="55"/>
    <col min="4872" max="4873" width="33.09765625" style="55" customWidth="1"/>
    <col min="4874" max="5121" width="9" style="55"/>
    <col min="5122" max="5122" width="13.5" style="55" customWidth="1"/>
    <col min="5123" max="5123" width="19.3984375" style="55" customWidth="1"/>
    <col min="5124" max="5127" width="9" style="55"/>
    <col min="5128" max="5129" width="33.09765625" style="55" customWidth="1"/>
    <col min="5130" max="5377" width="9" style="55"/>
    <col min="5378" max="5378" width="13.5" style="55" customWidth="1"/>
    <col min="5379" max="5379" width="19.3984375" style="55" customWidth="1"/>
    <col min="5380" max="5383" width="9" style="55"/>
    <col min="5384" max="5385" width="33.09765625" style="55" customWidth="1"/>
    <col min="5386" max="5633" width="9" style="55"/>
    <col min="5634" max="5634" width="13.5" style="55" customWidth="1"/>
    <col min="5635" max="5635" width="19.3984375" style="55" customWidth="1"/>
    <col min="5636" max="5639" width="9" style="55"/>
    <col min="5640" max="5641" width="33.09765625" style="55" customWidth="1"/>
    <col min="5642" max="5889" width="9" style="55"/>
    <col min="5890" max="5890" width="13.5" style="55" customWidth="1"/>
    <col min="5891" max="5891" width="19.3984375" style="55" customWidth="1"/>
    <col min="5892" max="5895" width="9" style="55"/>
    <col min="5896" max="5897" width="33.09765625" style="55" customWidth="1"/>
    <col min="5898" max="6145" width="9" style="55"/>
    <col min="6146" max="6146" width="13.5" style="55" customWidth="1"/>
    <col min="6147" max="6147" width="19.3984375" style="55" customWidth="1"/>
    <col min="6148" max="6151" width="9" style="55"/>
    <col min="6152" max="6153" width="33.09765625" style="55" customWidth="1"/>
    <col min="6154" max="6401" width="9" style="55"/>
    <col min="6402" max="6402" width="13.5" style="55" customWidth="1"/>
    <col min="6403" max="6403" width="19.3984375" style="55" customWidth="1"/>
    <col min="6404" max="6407" width="9" style="55"/>
    <col min="6408" max="6409" width="33.09765625" style="55" customWidth="1"/>
    <col min="6410" max="6657" width="9" style="55"/>
    <col min="6658" max="6658" width="13.5" style="55" customWidth="1"/>
    <col min="6659" max="6659" width="19.3984375" style="55" customWidth="1"/>
    <col min="6660" max="6663" width="9" style="55"/>
    <col min="6664" max="6665" width="33.09765625" style="55" customWidth="1"/>
    <col min="6666" max="6913" width="9" style="55"/>
    <col min="6914" max="6914" width="13.5" style="55" customWidth="1"/>
    <col min="6915" max="6915" width="19.3984375" style="55" customWidth="1"/>
    <col min="6916" max="6919" width="9" style="55"/>
    <col min="6920" max="6921" width="33.09765625" style="55" customWidth="1"/>
    <col min="6922" max="7169" width="9" style="55"/>
    <col min="7170" max="7170" width="13.5" style="55" customWidth="1"/>
    <col min="7171" max="7171" width="19.3984375" style="55" customWidth="1"/>
    <col min="7172" max="7175" width="9" style="55"/>
    <col min="7176" max="7177" width="33.09765625" style="55" customWidth="1"/>
    <col min="7178" max="7425" width="9" style="55"/>
    <col min="7426" max="7426" width="13.5" style="55" customWidth="1"/>
    <col min="7427" max="7427" width="19.3984375" style="55" customWidth="1"/>
    <col min="7428" max="7431" width="9" style="55"/>
    <col min="7432" max="7433" width="33.09765625" style="55" customWidth="1"/>
    <col min="7434" max="7681" width="9" style="55"/>
    <col min="7682" max="7682" width="13.5" style="55" customWidth="1"/>
    <col min="7683" max="7683" width="19.3984375" style="55" customWidth="1"/>
    <col min="7684" max="7687" width="9" style="55"/>
    <col min="7688" max="7689" width="33.09765625" style="55" customWidth="1"/>
    <col min="7690" max="7937" width="9" style="55"/>
    <col min="7938" max="7938" width="13.5" style="55" customWidth="1"/>
    <col min="7939" max="7939" width="19.3984375" style="55" customWidth="1"/>
    <col min="7940" max="7943" width="9" style="55"/>
    <col min="7944" max="7945" width="33.09765625" style="55" customWidth="1"/>
    <col min="7946" max="8193" width="9" style="55"/>
    <col min="8194" max="8194" width="13.5" style="55" customWidth="1"/>
    <col min="8195" max="8195" width="19.3984375" style="55" customWidth="1"/>
    <col min="8196" max="8199" width="9" style="55"/>
    <col min="8200" max="8201" width="33.09765625" style="55" customWidth="1"/>
    <col min="8202" max="8449" width="9" style="55"/>
    <col min="8450" max="8450" width="13.5" style="55" customWidth="1"/>
    <col min="8451" max="8451" width="19.3984375" style="55" customWidth="1"/>
    <col min="8452" max="8455" width="9" style="55"/>
    <col min="8456" max="8457" width="33.09765625" style="55" customWidth="1"/>
    <col min="8458" max="8705" width="9" style="55"/>
    <col min="8706" max="8706" width="13.5" style="55" customWidth="1"/>
    <col min="8707" max="8707" width="19.3984375" style="55" customWidth="1"/>
    <col min="8708" max="8711" width="9" style="55"/>
    <col min="8712" max="8713" width="33.09765625" style="55" customWidth="1"/>
    <col min="8714" max="8961" width="9" style="55"/>
    <col min="8962" max="8962" width="13.5" style="55" customWidth="1"/>
    <col min="8963" max="8963" width="19.3984375" style="55" customWidth="1"/>
    <col min="8964" max="8967" width="9" style="55"/>
    <col min="8968" max="8969" width="33.09765625" style="55" customWidth="1"/>
    <col min="8970" max="9217" width="9" style="55"/>
    <col min="9218" max="9218" width="13.5" style="55" customWidth="1"/>
    <col min="9219" max="9219" width="19.3984375" style="55" customWidth="1"/>
    <col min="9220" max="9223" width="9" style="55"/>
    <col min="9224" max="9225" width="33.09765625" style="55" customWidth="1"/>
    <col min="9226" max="9473" width="9" style="55"/>
    <col min="9474" max="9474" width="13.5" style="55" customWidth="1"/>
    <col min="9475" max="9475" width="19.3984375" style="55" customWidth="1"/>
    <col min="9476" max="9479" width="9" style="55"/>
    <col min="9480" max="9481" width="33.09765625" style="55" customWidth="1"/>
    <col min="9482" max="9729" width="9" style="55"/>
    <col min="9730" max="9730" width="13.5" style="55" customWidth="1"/>
    <col min="9731" max="9731" width="19.3984375" style="55" customWidth="1"/>
    <col min="9732" max="9735" width="9" style="55"/>
    <col min="9736" max="9737" width="33.09765625" style="55" customWidth="1"/>
    <col min="9738" max="9985" width="9" style="55"/>
    <col min="9986" max="9986" width="13.5" style="55" customWidth="1"/>
    <col min="9987" max="9987" width="19.3984375" style="55" customWidth="1"/>
    <col min="9988" max="9991" width="9" style="55"/>
    <col min="9992" max="9993" width="33.09765625" style="55" customWidth="1"/>
    <col min="9994" max="10241" width="9" style="55"/>
    <col min="10242" max="10242" width="13.5" style="55" customWidth="1"/>
    <col min="10243" max="10243" width="19.3984375" style="55" customWidth="1"/>
    <col min="10244" max="10247" width="9" style="55"/>
    <col min="10248" max="10249" width="33.09765625" style="55" customWidth="1"/>
    <col min="10250" max="10497" width="9" style="55"/>
    <col min="10498" max="10498" width="13.5" style="55" customWidth="1"/>
    <col min="10499" max="10499" width="19.3984375" style="55" customWidth="1"/>
    <col min="10500" max="10503" width="9" style="55"/>
    <col min="10504" max="10505" width="33.09765625" style="55" customWidth="1"/>
    <col min="10506" max="10753" width="9" style="55"/>
    <col min="10754" max="10754" width="13.5" style="55" customWidth="1"/>
    <col min="10755" max="10755" width="19.3984375" style="55" customWidth="1"/>
    <col min="10756" max="10759" width="9" style="55"/>
    <col min="10760" max="10761" width="33.09765625" style="55" customWidth="1"/>
    <col min="10762" max="11009" width="9" style="55"/>
    <col min="11010" max="11010" width="13.5" style="55" customWidth="1"/>
    <col min="11011" max="11011" width="19.3984375" style="55" customWidth="1"/>
    <col min="11012" max="11015" width="9" style="55"/>
    <col min="11016" max="11017" width="33.09765625" style="55" customWidth="1"/>
    <col min="11018" max="11265" width="9" style="55"/>
    <col min="11266" max="11266" width="13.5" style="55" customWidth="1"/>
    <col min="11267" max="11267" width="19.3984375" style="55" customWidth="1"/>
    <col min="11268" max="11271" width="9" style="55"/>
    <col min="11272" max="11273" width="33.09765625" style="55" customWidth="1"/>
    <col min="11274" max="11521" width="9" style="55"/>
    <col min="11522" max="11522" width="13.5" style="55" customWidth="1"/>
    <col min="11523" max="11523" width="19.3984375" style="55" customWidth="1"/>
    <col min="11524" max="11527" width="9" style="55"/>
    <col min="11528" max="11529" width="33.09765625" style="55" customWidth="1"/>
    <col min="11530" max="11777" width="9" style="55"/>
    <col min="11778" max="11778" width="13.5" style="55" customWidth="1"/>
    <col min="11779" max="11779" width="19.3984375" style="55" customWidth="1"/>
    <col min="11780" max="11783" width="9" style="55"/>
    <col min="11784" max="11785" width="33.09765625" style="55" customWidth="1"/>
    <col min="11786" max="12033" width="9" style="55"/>
    <col min="12034" max="12034" width="13.5" style="55" customWidth="1"/>
    <col min="12035" max="12035" width="19.3984375" style="55" customWidth="1"/>
    <col min="12036" max="12039" width="9" style="55"/>
    <col min="12040" max="12041" width="33.09765625" style="55" customWidth="1"/>
    <col min="12042" max="12289" width="9" style="55"/>
    <col min="12290" max="12290" width="13.5" style="55" customWidth="1"/>
    <col min="12291" max="12291" width="19.3984375" style="55" customWidth="1"/>
    <col min="12292" max="12295" width="9" style="55"/>
    <col min="12296" max="12297" width="33.09765625" style="55" customWidth="1"/>
    <col min="12298" max="12545" width="9" style="55"/>
    <col min="12546" max="12546" width="13.5" style="55" customWidth="1"/>
    <col min="12547" max="12547" width="19.3984375" style="55" customWidth="1"/>
    <col min="12548" max="12551" width="9" style="55"/>
    <col min="12552" max="12553" width="33.09765625" style="55" customWidth="1"/>
    <col min="12554" max="12801" width="9" style="55"/>
    <col min="12802" max="12802" width="13.5" style="55" customWidth="1"/>
    <col min="12803" max="12803" width="19.3984375" style="55" customWidth="1"/>
    <col min="12804" max="12807" width="9" style="55"/>
    <col min="12808" max="12809" width="33.09765625" style="55" customWidth="1"/>
    <col min="12810" max="13057" width="9" style="55"/>
    <col min="13058" max="13058" width="13.5" style="55" customWidth="1"/>
    <col min="13059" max="13059" width="19.3984375" style="55" customWidth="1"/>
    <col min="13060" max="13063" width="9" style="55"/>
    <col min="13064" max="13065" width="33.09765625" style="55" customWidth="1"/>
    <col min="13066" max="13313" width="9" style="55"/>
    <col min="13314" max="13314" width="13.5" style="55" customWidth="1"/>
    <col min="13315" max="13315" width="19.3984375" style="55" customWidth="1"/>
    <col min="13316" max="13319" width="9" style="55"/>
    <col min="13320" max="13321" width="33.09765625" style="55" customWidth="1"/>
    <col min="13322" max="13569" width="9" style="55"/>
    <col min="13570" max="13570" width="13.5" style="55" customWidth="1"/>
    <col min="13571" max="13571" width="19.3984375" style="55" customWidth="1"/>
    <col min="13572" max="13575" width="9" style="55"/>
    <col min="13576" max="13577" width="33.09765625" style="55" customWidth="1"/>
    <col min="13578" max="13825" width="9" style="55"/>
    <col min="13826" max="13826" width="13.5" style="55" customWidth="1"/>
    <col min="13827" max="13827" width="19.3984375" style="55" customWidth="1"/>
    <col min="13828" max="13831" width="9" style="55"/>
    <col min="13832" max="13833" width="33.09765625" style="55" customWidth="1"/>
    <col min="13834" max="14081" width="9" style="55"/>
    <col min="14082" max="14082" width="13.5" style="55" customWidth="1"/>
    <col min="14083" max="14083" width="19.3984375" style="55" customWidth="1"/>
    <col min="14084" max="14087" width="9" style="55"/>
    <col min="14088" max="14089" width="33.09765625" style="55" customWidth="1"/>
    <col min="14090" max="14337" width="9" style="55"/>
    <col min="14338" max="14338" width="13.5" style="55" customWidth="1"/>
    <col min="14339" max="14339" width="19.3984375" style="55" customWidth="1"/>
    <col min="14340" max="14343" width="9" style="55"/>
    <col min="14344" max="14345" width="33.09765625" style="55" customWidth="1"/>
    <col min="14346" max="14593" width="9" style="55"/>
    <col min="14594" max="14594" width="13.5" style="55" customWidth="1"/>
    <col min="14595" max="14595" width="19.3984375" style="55" customWidth="1"/>
    <col min="14596" max="14599" width="9" style="55"/>
    <col min="14600" max="14601" width="33.09765625" style="55" customWidth="1"/>
    <col min="14602" max="14849" width="9" style="55"/>
    <col min="14850" max="14850" width="13.5" style="55" customWidth="1"/>
    <col min="14851" max="14851" width="19.3984375" style="55" customWidth="1"/>
    <col min="14852" max="14855" width="9" style="55"/>
    <col min="14856" max="14857" width="33.09765625" style="55" customWidth="1"/>
    <col min="14858" max="15105" width="9" style="55"/>
    <col min="15106" max="15106" width="13.5" style="55" customWidth="1"/>
    <col min="15107" max="15107" width="19.3984375" style="55" customWidth="1"/>
    <col min="15108" max="15111" width="9" style="55"/>
    <col min="15112" max="15113" width="33.09765625" style="55" customWidth="1"/>
    <col min="15114" max="15361" width="9" style="55"/>
    <col min="15362" max="15362" width="13.5" style="55" customWidth="1"/>
    <col min="15363" max="15363" width="19.3984375" style="55" customWidth="1"/>
    <col min="15364" max="15367" width="9" style="55"/>
    <col min="15368" max="15369" width="33.09765625" style="55" customWidth="1"/>
    <col min="15370" max="15617" width="9" style="55"/>
    <col min="15618" max="15618" width="13.5" style="55" customWidth="1"/>
    <col min="15619" max="15619" width="19.3984375" style="55" customWidth="1"/>
    <col min="15620" max="15623" width="9" style="55"/>
    <col min="15624" max="15625" width="33.09765625" style="55" customWidth="1"/>
    <col min="15626" max="15873" width="9" style="55"/>
    <col min="15874" max="15874" width="13.5" style="55" customWidth="1"/>
    <col min="15875" max="15875" width="19.3984375" style="55" customWidth="1"/>
    <col min="15876" max="15879" width="9" style="55"/>
    <col min="15880" max="15881" width="33.09765625" style="55" customWidth="1"/>
    <col min="15882" max="16129" width="9" style="55"/>
    <col min="16130" max="16130" width="13.5" style="55" customWidth="1"/>
    <col min="16131" max="16131" width="19.3984375" style="55" customWidth="1"/>
    <col min="16132" max="16135" width="9" style="55"/>
    <col min="16136" max="16137" width="33.09765625" style="55" customWidth="1"/>
    <col min="16138" max="16384" width="9" style="55"/>
  </cols>
  <sheetData>
    <row r="1" spans="1:8" ht="24.6">
      <c r="B1" s="56" t="s">
        <v>69</v>
      </c>
      <c r="C1" s="56"/>
      <c r="D1" s="56"/>
      <c r="E1" s="56"/>
      <c r="F1" s="56"/>
      <c r="G1" s="56"/>
      <c r="H1" s="56"/>
    </row>
    <row r="2" spans="1:8">
      <c r="A2" s="57"/>
      <c r="B2" s="57"/>
      <c r="C2" s="58"/>
      <c r="D2" s="58"/>
      <c r="E2" s="58"/>
      <c r="F2" s="58"/>
      <c r="G2" s="58"/>
      <c r="H2" s="59"/>
    </row>
    <row r="3" spans="1:8">
      <c r="B3" s="60" t="s">
        <v>1</v>
      </c>
      <c r="C3" s="61" t="s">
        <v>2</v>
      </c>
      <c r="D3" s="61"/>
      <c r="E3" s="62" t="s">
        <v>70</v>
      </c>
      <c r="F3" s="62"/>
      <c r="G3" s="63"/>
      <c r="H3" s="64" t="s">
        <v>83</v>
      </c>
    </row>
    <row r="4" spans="1:8">
      <c r="B4" s="60" t="s">
        <v>3</v>
      </c>
      <c r="C4" s="61" t="s">
        <v>71</v>
      </c>
      <c r="D4" s="61"/>
      <c r="E4" s="62" t="s">
        <v>72</v>
      </c>
      <c r="F4" s="62"/>
      <c r="G4" s="63"/>
      <c r="H4" s="64" t="s">
        <v>84</v>
      </c>
    </row>
    <row r="5" spans="1:8">
      <c r="B5" s="65" t="s">
        <v>73</v>
      </c>
      <c r="C5" s="61" t="str">
        <f>C4&amp;"_"&amp;"Test Report"&amp;"_"&amp;"v1.0"</f>
        <v>CS-001_Test Report_v1.0</v>
      </c>
      <c r="D5" s="61"/>
      <c r="E5" s="62" t="s">
        <v>74</v>
      </c>
      <c r="F5" s="62"/>
      <c r="G5" s="63"/>
      <c r="H5" s="66">
        <v>45954</v>
      </c>
    </row>
    <row r="6" spans="1:8">
      <c r="A6" s="57"/>
      <c r="B6" s="65" t="s">
        <v>75</v>
      </c>
      <c r="C6" s="67" t="s">
        <v>76</v>
      </c>
      <c r="D6" s="67"/>
      <c r="E6" s="67"/>
      <c r="F6" s="67"/>
      <c r="G6" s="67"/>
      <c r="H6" s="67"/>
    </row>
    <row r="7" spans="1:8">
      <c r="A7" s="57"/>
      <c r="B7" s="68"/>
      <c r="C7" s="69"/>
      <c r="D7" s="58"/>
      <c r="E7" s="58"/>
      <c r="F7" s="58"/>
      <c r="G7" s="58"/>
      <c r="H7" s="59"/>
    </row>
    <row r="8" spans="1:8">
      <c r="B8" s="68"/>
      <c r="C8" s="69"/>
      <c r="D8" s="58"/>
      <c r="E8" s="58"/>
      <c r="F8" s="58"/>
      <c r="G8" s="58"/>
      <c r="H8" s="59"/>
    </row>
    <row r="10" spans="1:8" ht="39.6" customHeight="1">
      <c r="A10" s="70"/>
      <c r="B10" s="71" t="s">
        <v>6</v>
      </c>
      <c r="C10" s="72" t="s">
        <v>77</v>
      </c>
      <c r="D10" s="73" t="s">
        <v>22</v>
      </c>
      <c r="E10" s="72" t="s">
        <v>23</v>
      </c>
      <c r="F10" s="72" t="s">
        <v>24</v>
      </c>
      <c r="G10" s="74" t="s">
        <v>25</v>
      </c>
      <c r="H10" s="75" t="s">
        <v>78</v>
      </c>
    </row>
    <row r="11" spans="1:8">
      <c r="A11" s="70"/>
      <c r="B11" s="76">
        <v>1</v>
      </c>
      <c r="C11" s="77" t="str">
        <f>[1]Module1!B2</f>
        <v xml:space="preserve">Module1 </v>
      </c>
      <c r="D11" s="78">
        <f>[2]Module1!A6</f>
        <v>0</v>
      </c>
      <c r="E11" s="78">
        <f>[2]Module1!B6</f>
        <v>0</v>
      </c>
      <c r="F11" s="78">
        <f>'Module 1'!C6</f>
        <v>8</v>
      </c>
      <c r="G11" s="79">
        <f>[2]Module1!D6</f>
        <v>0</v>
      </c>
      <c r="H11" s="80">
        <f>'Module 1'!E6</f>
        <v>8</v>
      </c>
    </row>
    <row r="12" spans="1:8">
      <c r="A12" s="70"/>
      <c r="B12" s="76">
        <v>2</v>
      </c>
      <c r="C12" s="77" t="str">
        <f>[1]Module2!B2</f>
        <v>Module2</v>
      </c>
      <c r="D12" s="78">
        <f>[2]Module2!A6</f>
        <v>1</v>
      </c>
      <c r="E12" s="78">
        <f>[2]Module2!B6</f>
        <v>0</v>
      </c>
      <c r="F12" s="78">
        <f>'Module 2'!C6</f>
        <v>7</v>
      </c>
      <c r="G12" s="78">
        <f>[2]Module2!D6</f>
        <v>0</v>
      </c>
      <c r="H12" s="80">
        <f>'Module 2'!E6</f>
        <v>8</v>
      </c>
    </row>
    <row r="13" spans="1:8">
      <c r="A13" s="70"/>
      <c r="B13" s="76"/>
      <c r="C13" s="77"/>
      <c r="D13" s="78"/>
      <c r="E13" s="78"/>
      <c r="F13" s="78"/>
      <c r="G13" s="79"/>
      <c r="H13" s="80"/>
    </row>
    <row r="14" spans="1:8">
      <c r="A14" s="70"/>
      <c r="B14" s="81"/>
      <c r="C14" s="82" t="s">
        <v>79</v>
      </c>
      <c r="D14" s="83">
        <f>SUM(D9:D13)</f>
        <v>1</v>
      </c>
      <c r="E14" s="83">
        <f>SUM(E9:E13)</f>
        <v>0</v>
      </c>
      <c r="F14" s="83">
        <f>SUM(F9:F13)</f>
        <v>15</v>
      </c>
      <c r="G14" s="83">
        <f>SUM(G9:G13)</f>
        <v>0</v>
      </c>
      <c r="H14" s="84">
        <f>SUM(H9:H13)</f>
        <v>16</v>
      </c>
    </row>
    <row r="15" spans="1:8">
      <c r="B15" s="85"/>
      <c r="D15" s="86"/>
      <c r="E15" s="87"/>
      <c r="F15" s="87"/>
      <c r="G15" s="87"/>
      <c r="H15" s="87"/>
    </row>
    <row r="16" spans="1:8">
      <c r="C16" s="88" t="s">
        <v>80</v>
      </c>
      <c r="E16" s="89">
        <f>(D14+E14)*100/(H14-G14)</f>
        <v>6.25</v>
      </c>
      <c r="F16" s="55" t="s">
        <v>81</v>
      </c>
      <c r="H16" s="90"/>
    </row>
    <row r="17" spans="3:8">
      <c r="C17" s="88" t="s">
        <v>82</v>
      </c>
      <c r="E17" s="89">
        <f>D14*100/(H14-G14)</f>
        <v>6.25</v>
      </c>
      <c r="F17" s="55" t="s">
        <v>81</v>
      </c>
      <c r="H17" s="90"/>
    </row>
  </sheetData>
  <mergeCells count="8">
    <mergeCell ref="C6:H6"/>
    <mergeCell ref="B1:H1"/>
    <mergeCell ref="C3:D3"/>
    <mergeCell ref="E3:F3"/>
    <mergeCell ref="C4:D4"/>
    <mergeCell ref="E4:F4"/>
    <mergeCell ref="C5:D5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 list</vt:lpstr>
      <vt:lpstr>Module 1</vt:lpstr>
      <vt:lpstr>Module 2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Thanh Tùng</dc:creator>
  <cp:lastModifiedBy>Đinh Thanh Tùng</cp:lastModifiedBy>
  <dcterms:created xsi:type="dcterms:W3CDTF">2025-10-28T08:41:56Z</dcterms:created>
  <dcterms:modified xsi:type="dcterms:W3CDTF">2025-10-28T10:09:58Z</dcterms:modified>
</cp:coreProperties>
</file>